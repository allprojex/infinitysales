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F9017D2B-A189-4E4A-9AEC-1D4D850B3808}" xr6:coauthVersionLast="47" xr6:coauthVersionMax="47" xr10:uidLastSave="{00000000-0000-0000-0000-000000000000}"/>
  <bookViews>
    <workbookView xWindow="-110" yWindow="-110" windowWidth="19420" windowHeight="11020" xr2:uid="{744808D8-ED16-4A35-AFC6-D2C35F07EFF0}"/>
  </bookViews>
  <sheets>
    <sheet name="Champion Mart Pricing 2026" sheetId="1" r:id="rId1"/>
  </sheets>
  <definedNames>
    <definedName name="_xlnm._FilterDatabase" localSheetId="0" hidden="1">'Champion Mart Pricing 2026'!$A$1:$H$1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" i="1" l="1"/>
  <c r="E459" i="1"/>
  <c r="F459" i="1" s="1"/>
  <c r="F458" i="1"/>
  <c r="E458" i="1"/>
  <c r="E457" i="1"/>
  <c r="F457" i="1" s="1"/>
  <c r="E456" i="1"/>
  <c r="F456" i="1" s="1"/>
  <c r="F455" i="1"/>
  <c r="E455" i="1"/>
  <c r="F454" i="1"/>
  <c r="E454" i="1"/>
  <c r="E453" i="1"/>
  <c r="F453" i="1" s="1"/>
  <c r="E452" i="1"/>
  <c r="F452" i="1" s="1"/>
  <c r="F451" i="1"/>
  <c r="E451" i="1"/>
  <c r="F450" i="1"/>
  <c r="E450" i="1"/>
  <c r="E449" i="1"/>
  <c r="F449" i="1" s="1"/>
  <c r="E448" i="1"/>
  <c r="F448" i="1" s="1"/>
  <c r="F447" i="1"/>
  <c r="E447" i="1"/>
  <c r="F446" i="1"/>
  <c r="E446" i="1"/>
  <c r="E445" i="1"/>
  <c r="F445" i="1" s="1"/>
  <c r="E444" i="1"/>
  <c r="F444" i="1" s="1"/>
  <c r="F443" i="1"/>
  <c r="E443" i="1"/>
  <c r="F442" i="1"/>
  <c r="E442" i="1"/>
  <c r="E441" i="1"/>
  <c r="F441" i="1" s="1"/>
  <c r="E440" i="1"/>
  <c r="F440" i="1" s="1"/>
  <c r="F439" i="1"/>
  <c r="E439" i="1"/>
  <c r="F438" i="1"/>
  <c r="E438" i="1"/>
  <c r="E437" i="1"/>
  <c r="F437" i="1" s="1"/>
  <c r="E436" i="1"/>
  <c r="F436" i="1" s="1"/>
  <c r="F435" i="1"/>
  <c r="E435" i="1"/>
  <c r="F434" i="1"/>
  <c r="E434" i="1"/>
  <c r="E433" i="1"/>
  <c r="F433" i="1" s="1"/>
  <c r="E432" i="1"/>
  <c r="F432" i="1" s="1"/>
  <c r="F431" i="1"/>
  <c r="E431" i="1"/>
  <c r="F430" i="1"/>
  <c r="E430" i="1"/>
  <c r="E429" i="1"/>
  <c r="F429" i="1" s="1"/>
  <c r="E428" i="1"/>
  <c r="F428" i="1" s="1"/>
  <c r="F427" i="1"/>
  <c r="E427" i="1"/>
  <c r="F426" i="1"/>
  <c r="E426" i="1"/>
  <c r="E425" i="1"/>
  <c r="F425" i="1" s="1"/>
  <c r="E424" i="1"/>
  <c r="F424" i="1" s="1"/>
  <c r="F423" i="1"/>
  <c r="E423" i="1"/>
  <c r="F422" i="1"/>
  <c r="E422" i="1"/>
  <c r="E421" i="1"/>
  <c r="F421" i="1" s="1"/>
  <c r="E420" i="1"/>
  <c r="F420" i="1" s="1"/>
  <c r="F419" i="1"/>
  <c r="E419" i="1"/>
  <c r="F418" i="1"/>
  <c r="E418" i="1"/>
  <c r="E417" i="1"/>
  <c r="F417" i="1" s="1"/>
  <c r="E416" i="1"/>
  <c r="F416" i="1" s="1"/>
  <c r="F415" i="1"/>
  <c r="E415" i="1"/>
  <c r="F414" i="1"/>
  <c r="E414" i="1"/>
  <c r="E413" i="1"/>
  <c r="F413" i="1" s="1"/>
  <c r="E412" i="1"/>
  <c r="F412" i="1" s="1"/>
  <c r="F411" i="1"/>
  <c r="E411" i="1"/>
  <c r="F410" i="1"/>
  <c r="E410" i="1"/>
  <c r="E409" i="1"/>
  <c r="F409" i="1" s="1"/>
  <c r="E408" i="1"/>
  <c r="F408" i="1" s="1"/>
  <c r="F407" i="1"/>
  <c r="E407" i="1"/>
  <c r="F406" i="1"/>
  <c r="E406" i="1"/>
  <c r="E405" i="1"/>
  <c r="F405" i="1" s="1"/>
  <c r="E404" i="1"/>
  <c r="F404" i="1" s="1"/>
  <c r="F403" i="1"/>
  <c r="E403" i="1"/>
  <c r="F402" i="1"/>
  <c r="E402" i="1"/>
  <c r="E401" i="1"/>
  <c r="F401" i="1" s="1"/>
  <c r="E400" i="1"/>
  <c r="F400" i="1" s="1"/>
  <c r="F399" i="1"/>
  <c r="E399" i="1"/>
  <c r="F398" i="1"/>
  <c r="E398" i="1"/>
  <c r="E397" i="1"/>
  <c r="F397" i="1" s="1"/>
  <c r="E396" i="1"/>
  <c r="F396" i="1" s="1"/>
  <c r="F395" i="1"/>
  <c r="E395" i="1"/>
  <c r="F394" i="1"/>
  <c r="E394" i="1"/>
  <c r="E393" i="1"/>
  <c r="F393" i="1" s="1"/>
  <c r="E392" i="1"/>
  <c r="F392" i="1" s="1"/>
  <c r="F391" i="1"/>
  <c r="E391" i="1"/>
  <c r="F390" i="1"/>
  <c r="E390" i="1"/>
  <c r="E389" i="1"/>
  <c r="F389" i="1" s="1"/>
  <c r="E388" i="1"/>
  <c r="F388" i="1" s="1"/>
  <c r="F387" i="1"/>
  <c r="E387" i="1"/>
  <c r="F386" i="1"/>
  <c r="E386" i="1"/>
  <c r="E385" i="1"/>
  <c r="F385" i="1" s="1"/>
  <c r="E384" i="1"/>
  <c r="F384" i="1" s="1"/>
  <c r="F383" i="1"/>
  <c r="E383" i="1"/>
  <c r="F382" i="1"/>
  <c r="E382" i="1"/>
  <c r="E381" i="1"/>
  <c r="F381" i="1" s="1"/>
  <c r="E380" i="1"/>
  <c r="F380" i="1" s="1"/>
  <c r="F379" i="1"/>
  <c r="E379" i="1"/>
  <c r="F378" i="1"/>
  <c r="E378" i="1"/>
  <c r="E377" i="1"/>
  <c r="F377" i="1" s="1"/>
  <c r="E376" i="1"/>
  <c r="F376" i="1" s="1"/>
  <c r="F375" i="1"/>
  <c r="E375" i="1"/>
  <c r="F374" i="1"/>
  <c r="E374" i="1"/>
  <c r="E373" i="1"/>
  <c r="F373" i="1" s="1"/>
  <c r="E372" i="1"/>
  <c r="F372" i="1" s="1"/>
  <c r="F371" i="1"/>
  <c r="E371" i="1"/>
  <c r="F370" i="1"/>
  <c r="E370" i="1"/>
  <c r="E369" i="1"/>
  <c r="F369" i="1" s="1"/>
  <c r="E368" i="1"/>
  <c r="F368" i="1" s="1"/>
  <c r="F367" i="1"/>
  <c r="E367" i="1"/>
  <c r="F366" i="1"/>
  <c r="E366" i="1"/>
  <c r="E365" i="1"/>
  <c r="F365" i="1" s="1"/>
  <c r="E364" i="1"/>
  <c r="F364" i="1" s="1"/>
  <c r="F363" i="1"/>
  <c r="E363" i="1"/>
  <c r="E362" i="1"/>
  <c r="F362" i="1" s="1"/>
  <c r="E361" i="1"/>
  <c r="F361" i="1" s="1"/>
  <c r="E360" i="1"/>
  <c r="F360" i="1" s="1"/>
  <c r="F359" i="1"/>
  <c r="E359" i="1"/>
  <c r="E358" i="1"/>
  <c r="F358" i="1" s="1"/>
  <c r="E357" i="1"/>
  <c r="F357" i="1" s="1"/>
  <c r="E356" i="1"/>
  <c r="F356" i="1" s="1"/>
  <c r="F355" i="1"/>
  <c r="E355" i="1"/>
  <c r="E354" i="1"/>
  <c r="F354" i="1" s="1"/>
  <c r="E353" i="1"/>
  <c r="F353" i="1" s="1"/>
  <c r="E352" i="1"/>
  <c r="F352" i="1" s="1"/>
  <c r="F351" i="1"/>
  <c r="E351" i="1"/>
  <c r="E350" i="1"/>
  <c r="F350" i="1" s="1"/>
  <c r="E349" i="1"/>
  <c r="F349" i="1" s="1"/>
  <c r="E348" i="1"/>
  <c r="F348" i="1" s="1"/>
  <c r="F347" i="1"/>
  <c r="E347" i="1"/>
  <c r="E346" i="1"/>
  <c r="F346" i="1" s="1"/>
  <c r="E345" i="1"/>
  <c r="F345" i="1" s="1"/>
  <c r="E344" i="1"/>
  <c r="F344" i="1" s="1"/>
  <c r="F343" i="1"/>
  <c r="E343" i="1"/>
  <c r="E342" i="1"/>
  <c r="F342" i="1" s="1"/>
  <c r="E341" i="1"/>
  <c r="F341" i="1" s="1"/>
  <c r="E340" i="1"/>
  <c r="F340" i="1" s="1"/>
  <c r="F339" i="1"/>
  <c r="E339" i="1"/>
  <c r="E338" i="1"/>
  <c r="F338" i="1" s="1"/>
  <c r="E337" i="1"/>
  <c r="F337" i="1" s="1"/>
  <c r="E336" i="1"/>
  <c r="F336" i="1" s="1"/>
  <c r="F335" i="1"/>
  <c r="E335" i="1"/>
  <c r="E334" i="1"/>
  <c r="F334" i="1" s="1"/>
  <c r="E333" i="1"/>
  <c r="F333" i="1" s="1"/>
  <c r="E332" i="1"/>
  <c r="F332" i="1" s="1"/>
  <c r="F331" i="1"/>
  <c r="E331" i="1"/>
  <c r="E330" i="1"/>
  <c r="F330" i="1" s="1"/>
  <c r="E329" i="1"/>
  <c r="F329" i="1" s="1"/>
  <c r="E328" i="1"/>
  <c r="F328" i="1" s="1"/>
  <c r="F327" i="1"/>
  <c r="E327" i="1"/>
  <c r="E326" i="1"/>
  <c r="F326" i="1" s="1"/>
  <c r="E325" i="1"/>
  <c r="F325" i="1" s="1"/>
  <c r="E324" i="1"/>
  <c r="F324" i="1" s="1"/>
  <c r="F323" i="1"/>
  <c r="E323" i="1"/>
  <c r="E322" i="1"/>
  <c r="F322" i="1" s="1"/>
  <c r="E321" i="1"/>
  <c r="F321" i="1" s="1"/>
  <c r="E320" i="1"/>
  <c r="F320" i="1" s="1"/>
  <c r="F319" i="1"/>
  <c r="E319" i="1"/>
  <c r="E318" i="1"/>
  <c r="F318" i="1" s="1"/>
  <c r="E317" i="1"/>
  <c r="F317" i="1" s="1"/>
  <c r="E316" i="1"/>
  <c r="F316" i="1" s="1"/>
  <c r="F315" i="1"/>
  <c r="E315" i="1"/>
  <c r="E314" i="1"/>
  <c r="F314" i="1" s="1"/>
  <c r="E313" i="1"/>
  <c r="F313" i="1" s="1"/>
  <c r="E312" i="1"/>
  <c r="F312" i="1" s="1"/>
  <c r="E311" i="1"/>
  <c r="F311" i="1" s="1"/>
  <c r="E310" i="1"/>
  <c r="F310" i="1" s="1"/>
  <c r="E309" i="1"/>
  <c r="F309" i="1" s="1"/>
  <c r="E308" i="1"/>
  <c r="F308" i="1" s="1"/>
  <c r="E307" i="1"/>
  <c r="F307" i="1" s="1"/>
  <c r="E306" i="1"/>
  <c r="F306" i="1" s="1"/>
  <c r="E305" i="1"/>
  <c r="F305" i="1" s="1"/>
  <c r="E304" i="1"/>
  <c r="F304" i="1" s="1"/>
  <c r="E303" i="1"/>
  <c r="F303" i="1" s="1"/>
  <c r="E302" i="1"/>
  <c r="F302" i="1" s="1"/>
  <c r="E301" i="1"/>
  <c r="F301" i="1" s="1"/>
  <c r="E300" i="1"/>
  <c r="F300" i="1" s="1"/>
  <c r="F299" i="1"/>
  <c r="E299" i="1"/>
  <c r="E298" i="1"/>
  <c r="F298" i="1" s="1"/>
  <c r="E297" i="1"/>
  <c r="F297" i="1" s="1"/>
  <c r="E296" i="1"/>
  <c r="F296" i="1" s="1"/>
  <c r="F295" i="1"/>
  <c r="E295" i="1"/>
  <c r="E294" i="1"/>
  <c r="F294" i="1" s="1"/>
  <c r="E293" i="1"/>
  <c r="F293" i="1" s="1"/>
  <c r="E292" i="1"/>
  <c r="F292" i="1" s="1"/>
  <c r="F291" i="1"/>
  <c r="E291" i="1"/>
  <c r="E290" i="1"/>
  <c r="F290" i="1" s="1"/>
  <c r="E289" i="1"/>
  <c r="F289" i="1" s="1"/>
  <c r="E288" i="1"/>
  <c r="F288" i="1" s="1"/>
  <c r="E287" i="1"/>
  <c r="F287" i="1" s="1"/>
  <c r="E286" i="1"/>
  <c r="F286" i="1" s="1"/>
  <c r="E285" i="1"/>
  <c r="F285" i="1" s="1"/>
  <c r="E284" i="1"/>
  <c r="F284" i="1" s="1"/>
  <c r="E283" i="1"/>
  <c r="F283" i="1" s="1"/>
  <c r="E282" i="1"/>
  <c r="F282" i="1" s="1"/>
  <c r="E281" i="1"/>
  <c r="F281" i="1" s="1"/>
  <c r="E280" i="1"/>
  <c r="F280" i="1" s="1"/>
  <c r="E279" i="1"/>
  <c r="F279" i="1" s="1"/>
  <c r="E278" i="1"/>
  <c r="F278" i="1" s="1"/>
  <c r="E277" i="1"/>
  <c r="F277" i="1" s="1"/>
  <c r="E276" i="1"/>
  <c r="F276" i="1" s="1"/>
  <c r="E275" i="1"/>
  <c r="F275" i="1" s="1"/>
  <c r="E274" i="1"/>
  <c r="F274" i="1" s="1"/>
  <c r="E273" i="1"/>
  <c r="F273" i="1" s="1"/>
  <c r="E272" i="1"/>
  <c r="F272" i="1" s="1"/>
  <c r="E271" i="1"/>
  <c r="F271" i="1" s="1"/>
  <c r="E270" i="1"/>
  <c r="F270" i="1" s="1"/>
  <c r="E269" i="1"/>
  <c r="F269" i="1" s="1"/>
  <c r="E268" i="1"/>
  <c r="F268" i="1" s="1"/>
  <c r="F267" i="1"/>
  <c r="E267" i="1"/>
  <c r="E266" i="1"/>
  <c r="F266" i="1" s="1"/>
  <c r="E265" i="1"/>
  <c r="F265" i="1" s="1"/>
  <c r="E264" i="1"/>
  <c r="F264" i="1" s="1"/>
  <c r="F263" i="1"/>
  <c r="E263" i="1"/>
  <c r="E262" i="1"/>
  <c r="F262" i="1" s="1"/>
  <c r="E261" i="1"/>
  <c r="F261" i="1" s="1"/>
  <c r="E260" i="1"/>
  <c r="F260" i="1" s="1"/>
  <c r="F259" i="1"/>
  <c r="E259" i="1"/>
  <c r="E258" i="1"/>
  <c r="F258" i="1" s="1"/>
  <c r="E257" i="1"/>
  <c r="F257" i="1" s="1"/>
  <c r="E256" i="1"/>
  <c r="F256" i="1" s="1"/>
  <c r="E255" i="1"/>
  <c r="F255" i="1" s="1"/>
  <c r="E254" i="1"/>
  <c r="F254" i="1" s="1"/>
  <c r="E253" i="1"/>
  <c r="F253" i="1" s="1"/>
  <c r="E252" i="1"/>
  <c r="F252" i="1" s="1"/>
  <c r="F251" i="1"/>
  <c r="E251" i="1"/>
  <c r="E250" i="1"/>
  <c r="F250" i="1" s="1"/>
  <c r="E249" i="1"/>
  <c r="F249" i="1" s="1"/>
  <c r="E248" i="1"/>
  <c r="F248" i="1" s="1"/>
  <c r="E247" i="1"/>
  <c r="F247" i="1" s="1"/>
  <c r="F246" i="1"/>
  <c r="E246" i="1"/>
  <c r="E245" i="1"/>
  <c r="F245" i="1" s="1"/>
  <c r="E244" i="1"/>
  <c r="F244" i="1" s="1"/>
  <c r="E243" i="1"/>
  <c r="F243" i="1" s="1"/>
  <c r="E242" i="1"/>
  <c r="F242" i="1" s="1"/>
  <c r="E241" i="1"/>
  <c r="F241" i="1" s="1"/>
  <c r="E240" i="1"/>
  <c r="F240" i="1" s="1"/>
  <c r="E239" i="1"/>
  <c r="F239" i="1" s="1"/>
  <c r="E238" i="1"/>
  <c r="F238" i="1" s="1"/>
  <c r="E237" i="1"/>
  <c r="F237" i="1" s="1"/>
  <c r="E236" i="1"/>
  <c r="F236" i="1" s="1"/>
  <c r="F235" i="1"/>
  <c r="E235" i="1"/>
  <c r="E234" i="1"/>
  <c r="F234" i="1" s="1"/>
  <c r="E233" i="1"/>
  <c r="F233" i="1" s="1"/>
  <c r="E232" i="1"/>
  <c r="F232" i="1" s="1"/>
  <c r="E231" i="1"/>
  <c r="F231" i="1" s="1"/>
  <c r="F230" i="1"/>
  <c r="E230" i="1"/>
  <c r="E229" i="1"/>
  <c r="F229" i="1" s="1"/>
  <c r="E228" i="1"/>
  <c r="F228" i="1" s="1"/>
  <c r="E227" i="1"/>
  <c r="F227" i="1" s="1"/>
  <c r="E226" i="1"/>
  <c r="F226" i="1" s="1"/>
  <c r="E225" i="1"/>
  <c r="F225" i="1" s="1"/>
  <c r="E224" i="1"/>
  <c r="F224" i="1" s="1"/>
  <c r="E223" i="1"/>
  <c r="F223" i="1" s="1"/>
  <c r="E222" i="1"/>
  <c r="F222" i="1" s="1"/>
  <c r="E221" i="1"/>
  <c r="F221" i="1" s="1"/>
  <c r="E220" i="1"/>
  <c r="F220" i="1" s="1"/>
  <c r="F219" i="1"/>
  <c r="E219" i="1"/>
  <c r="E218" i="1"/>
  <c r="F218" i="1" s="1"/>
  <c r="E217" i="1"/>
  <c r="F217" i="1" s="1"/>
  <c r="E216" i="1"/>
  <c r="F216" i="1" s="1"/>
  <c r="E215" i="1"/>
  <c r="F215" i="1" s="1"/>
  <c r="F214" i="1"/>
  <c r="E214" i="1"/>
  <c r="E213" i="1"/>
  <c r="F213" i="1" s="1"/>
  <c r="E212" i="1"/>
  <c r="F212" i="1" s="1"/>
  <c r="E211" i="1"/>
  <c r="F211" i="1" s="1"/>
  <c r="E210" i="1"/>
  <c r="F210" i="1" s="1"/>
  <c r="E209" i="1"/>
  <c r="F209" i="1" s="1"/>
  <c r="E208" i="1"/>
  <c r="F208" i="1" s="1"/>
  <c r="E207" i="1"/>
  <c r="F207" i="1" s="1"/>
  <c r="E206" i="1"/>
  <c r="F206" i="1" s="1"/>
  <c r="E205" i="1"/>
  <c r="F205" i="1" s="1"/>
  <c r="E204" i="1"/>
  <c r="F204" i="1" s="1"/>
  <c r="F203" i="1"/>
  <c r="E203" i="1"/>
  <c r="E202" i="1"/>
  <c r="F202" i="1" s="1"/>
  <c r="E201" i="1"/>
  <c r="F201" i="1" s="1"/>
  <c r="E200" i="1"/>
  <c r="F200" i="1" s="1"/>
  <c r="E199" i="1"/>
  <c r="F199" i="1" s="1"/>
  <c r="F198" i="1"/>
  <c r="E198" i="1"/>
  <c r="E197" i="1"/>
  <c r="F197" i="1" s="1"/>
  <c r="E196" i="1"/>
  <c r="F196" i="1" s="1"/>
  <c r="E195" i="1"/>
  <c r="F195" i="1" s="1"/>
  <c r="E194" i="1"/>
  <c r="F194" i="1" s="1"/>
  <c r="E193" i="1"/>
  <c r="F193" i="1" s="1"/>
  <c r="E192" i="1"/>
  <c r="F192" i="1" s="1"/>
  <c r="E191" i="1"/>
  <c r="F191" i="1" s="1"/>
  <c r="E190" i="1"/>
  <c r="F190" i="1" s="1"/>
  <c r="E189" i="1"/>
  <c r="F189" i="1" s="1"/>
  <c r="E188" i="1"/>
  <c r="F188" i="1" s="1"/>
  <c r="F187" i="1"/>
  <c r="E187" i="1"/>
  <c r="E186" i="1"/>
  <c r="F186" i="1" s="1"/>
  <c r="E185" i="1"/>
  <c r="F185" i="1" s="1"/>
  <c r="E184" i="1"/>
  <c r="F184" i="1" s="1"/>
  <c r="E183" i="1"/>
  <c r="F183" i="1" s="1"/>
  <c r="F182" i="1"/>
  <c r="E182" i="1"/>
  <c r="E181" i="1"/>
  <c r="F181" i="1" s="1"/>
  <c r="E180" i="1"/>
  <c r="F180" i="1" s="1"/>
  <c r="E179" i="1"/>
  <c r="F179" i="1" s="1"/>
  <c r="E178" i="1"/>
  <c r="F178" i="1" s="1"/>
  <c r="E177" i="1"/>
  <c r="F177" i="1" s="1"/>
  <c r="E176" i="1"/>
  <c r="F176" i="1" s="1"/>
  <c r="E175" i="1"/>
  <c r="F175" i="1" s="1"/>
  <c r="E174" i="1"/>
  <c r="F174" i="1" s="1"/>
  <c r="E173" i="1"/>
  <c r="F173" i="1" s="1"/>
  <c r="E172" i="1"/>
  <c r="F172" i="1" s="1"/>
  <c r="F171" i="1"/>
  <c r="E171" i="1"/>
  <c r="E170" i="1"/>
  <c r="F170" i="1" s="1"/>
  <c r="E169" i="1"/>
  <c r="F169" i="1" s="1"/>
  <c r="E168" i="1"/>
  <c r="F168" i="1" s="1"/>
  <c r="E167" i="1"/>
  <c r="F167" i="1" s="1"/>
  <c r="F166" i="1"/>
  <c r="E166" i="1"/>
  <c r="E165" i="1"/>
  <c r="F165" i="1" s="1"/>
  <c r="E164" i="1"/>
  <c r="F164" i="1" s="1"/>
  <c r="E163" i="1"/>
  <c r="F163" i="1" s="1"/>
  <c r="E162" i="1"/>
  <c r="F162" i="1" s="1"/>
  <c r="E161" i="1"/>
  <c r="F161" i="1" s="1"/>
  <c r="E160" i="1"/>
  <c r="F160" i="1" s="1"/>
  <c r="E159" i="1"/>
  <c r="F159" i="1" s="1"/>
  <c r="E158" i="1"/>
  <c r="F158" i="1" s="1"/>
  <c r="E157" i="1"/>
  <c r="F157" i="1" s="1"/>
  <c r="E156" i="1"/>
  <c r="F156" i="1" s="1"/>
  <c r="F155" i="1"/>
  <c r="E155" i="1"/>
  <c r="E154" i="1"/>
  <c r="F154" i="1" s="1"/>
  <c r="E153" i="1"/>
  <c r="F153" i="1" s="1"/>
  <c r="E152" i="1"/>
  <c r="F152" i="1" s="1"/>
  <c r="E151" i="1"/>
  <c r="F151" i="1" s="1"/>
  <c r="F150" i="1"/>
  <c r="E150" i="1"/>
  <c r="E149" i="1"/>
  <c r="F149" i="1" s="1"/>
  <c r="E148" i="1"/>
  <c r="F148" i="1" s="1"/>
  <c r="E147" i="1"/>
  <c r="F147" i="1" s="1"/>
  <c r="E146" i="1"/>
  <c r="F146" i="1" s="1"/>
  <c r="E145" i="1"/>
  <c r="F145" i="1" s="1"/>
  <c r="E144" i="1"/>
  <c r="F144" i="1" s="1"/>
  <c r="E143" i="1"/>
  <c r="F143" i="1" s="1"/>
  <c r="E142" i="1"/>
  <c r="F142" i="1" s="1"/>
  <c r="E141" i="1"/>
  <c r="F141" i="1" s="1"/>
  <c r="E140" i="1"/>
  <c r="F140" i="1" s="1"/>
  <c r="F139" i="1"/>
  <c r="E139" i="1"/>
  <c r="E138" i="1"/>
  <c r="F138" i="1" s="1"/>
  <c r="E137" i="1"/>
  <c r="F137" i="1" s="1"/>
  <c r="E136" i="1"/>
  <c r="F136" i="1" s="1"/>
  <c r="E135" i="1"/>
  <c r="F135" i="1" s="1"/>
  <c r="F134" i="1"/>
  <c r="E134" i="1"/>
  <c r="E133" i="1"/>
  <c r="F133" i="1" s="1"/>
  <c r="E132" i="1"/>
  <c r="F132" i="1" s="1"/>
  <c r="E131" i="1"/>
  <c r="F131" i="1" s="1"/>
  <c r="E130" i="1"/>
  <c r="F130" i="1" s="1"/>
  <c r="E129" i="1"/>
  <c r="F129" i="1" s="1"/>
  <c r="E128" i="1"/>
  <c r="F128" i="1" s="1"/>
  <c r="E127" i="1"/>
  <c r="F127" i="1" s="1"/>
  <c r="E126" i="1"/>
  <c r="F126" i="1" s="1"/>
  <c r="E125" i="1"/>
  <c r="F125" i="1" s="1"/>
  <c r="E124" i="1"/>
  <c r="F124" i="1" s="1"/>
  <c r="F123" i="1"/>
  <c r="E123" i="1"/>
  <c r="E122" i="1"/>
  <c r="F122" i="1" s="1"/>
  <c r="E121" i="1"/>
  <c r="F121" i="1" s="1"/>
  <c r="E120" i="1"/>
  <c r="F120" i="1" s="1"/>
  <c r="E119" i="1"/>
  <c r="F119" i="1" s="1"/>
  <c r="F118" i="1"/>
  <c r="E118" i="1"/>
  <c r="E117" i="1"/>
  <c r="F117" i="1" s="1"/>
  <c r="E116" i="1"/>
  <c r="F116" i="1" s="1"/>
  <c r="E115" i="1"/>
  <c r="F115" i="1" s="1"/>
  <c r="F114" i="1"/>
  <c r="E114" i="1"/>
  <c r="E113" i="1"/>
  <c r="F113" i="1" s="1"/>
  <c r="E112" i="1"/>
  <c r="F112" i="1" s="1"/>
  <c r="E111" i="1"/>
  <c r="F111" i="1" s="1"/>
  <c r="F110" i="1"/>
  <c r="E110" i="1"/>
  <c r="E109" i="1"/>
  <c r="F109" i="1" s="1"/>
  <c r="E108" i="1"/>
  <c r="F108" i="1" s="1"/>
  <c r="E107" i="1"/>
  <c r="F107" i="1" s="1"/>
  <c r="F106" i="1"/>
  <c r="E106" i="1"/>
  <c r="E105" i="1"/>
  <c r="F105" i="1" s="1"/>
  <c r="E104" i="1"/>
  <c r="F104" i="1" s="1"/>
  <c r="E103" i="1"/>
  <c r="F103" i="1" s="1"/>
  <c r="F102" i="1"/>
  <c r="E102" i="1"/>
  <c r="E101" i="1"/>
  <c r="F101" i="1" s="1"/>
  <c r="E100" i="1"/>
  <c r="F100" i="1" s="1"/>
  <c r="E99" i="1"/>
  <c r="F99" i="1" s="1"/>
  <c r="F98" i="1"/>
  <c r="E98" i="1"/>
  <c r="E97" i="1"/>
  <c r="F97" i="1" s="1"/>
  <c r="E96" i="1"/>
  <c r="F96" i="1" s="1"/>
  <c r="E95" i="1"/>
  <c r="F95" i="1" s="1"/>
  <c r="F94" i="1"/>
  <c r="E94" i="1"/>
  <c r="E93" i="1"/>
  <c r="F93" i="1" s="1"/>
  <c r="E92" i="1"/>
  <c r="F92" i="1" s="1"/>
  <c r="E91" i="1"/>
  <c r="F91" i="1" s="1"/>
  <c r="F90" i="1"/>
  <c r="E90" i="1"/>
  <c r="E89" i="1"/>
  <c r="F89" i="1" s="1"/>
  <c r="E88" i="1"/>
  <c r="F88" i="1" s="1"/>
  <c r="E87" i="1"/>
  <c r="F87" i="1" s="1"/>
  <c r="F86" i="1"/>
  <c r="E86" i="1"/>
  <c r="E85" i="1"/>
  <c r="F85" i="1" s="1"/>
  <c r="E84" i="1"/>
  <c r="F84" i="1" s="1"/>
  <c r="E83" i="1"/>
  <c r="F83" i="1" s="1"/>
  <c r="F82" i="1"/>
  <c r="E82" i="1"/>
  <c r="E81" i="1"/>
  <c r="F81" i="1" s="1"/>
  <c r="E80" i="1"/>
  <c r="F80" i="1" s="1"/>
  <c r="E79" i="1"/>
  <c r="F79" i="1" s="1"/>
  <c r="F78" i="1"/>
  <c r="E78" i="1"/>
  <c r="E77" i="1"/>
  <c r="F77" i="1" s="1"/>
  <c r="E76" i="1"/>
  <c r="F76" i="1" s="1"/>
  <c r="E75" i="1"/>
  <c r="F75" i="1" s="1"/>
  <c r="F74" i="1"/>
  <c r="E74" i="1"/>
  <c r="F73" i="1"/>
  <c r="E72" i="1"/>
  <c r="F72" i="1" s="1"/>
  <c r="E71" i="1"/>
  <c r="F71" i="1" s="1"/>
  <c r="F70" i="1"/>
  <c r="E70" i="1"/>
  <c r="E69" i="1"/>
  <c r="F69" i="1" s="1"/>
  <c r="E68" i="1"/>
  <c r="F68" i="1" s="1"/>
  <c r="E67" i="1"/>
  <c r="F67" i="1" s="1"/>
  <c r="F66" i="1"/>
  <c r="E66" i="1"/>
  <c r="E65" i="1"/>
  <c r="F65" i="1" s="1"/>
  <c r="E64" i="1"/>
  <c r="F64" i="1" s="1"/>
  <c r="E63" i="1"/>
  <c r="F63" i="1" s="1"/>
  <c r="F62" i="1"/>
  <c r="E62" i="1"/>
  <c r="E61" i="1"/>
  <c r="F61" i="1" s="1"/>
  <c r="E60" i="1"/>
  <c r="F60" i="1" s="1"/>
  <c r="E59" i="1"/>
  <c r="F59" i="1" s="1"/>
  <c r="F58" i="1"/>
  <c r="E58" i="1"/>
  <c r="E57" i="1"/>
  <c r="F57" i="1" s="1"/>
  <c r="E56" i="1"/>
  <c r="F56" i="1" s="1"/>
  <c r="E55" i="1"/>
  <c r="F55" i="1" s="1"/>
  <c r="F54" i="1"/>
  <c r="E54" i="1"/>
  <c r="E53" i="1"/>
  <c r="F53" i="1" s="1"/>
  <c r="E52" i="1"/>
  <c r="F52" i="1" s="1"/>
  <c r="E51" i="1"/>
  <c r="F51" i="1" s="1"/>
  <c r="F50" i="1"/>
  <c r="E50" i="1"/>
  <c r="E49" i="1"/>
  <c r="F49" i="1" s="1"/>
  <c r="E48" i="1"/>
  <c r="F48" i="1" s="1"/>
  <c r="E47" i="1"/>
  <c r="F47" i="1" s="1"/>
  <c r="F46" i="1"/>
  <c r="E46" i="1"/>
  <c r="E45" i="1"/>
  <c r="F45" i="1" s="1"/>
  <c r="E44" i="1"/>
  <c r="F44" i="1" s="1"/>
  <c r="E43" i="1"/>
  <c r="F43" i="1" s="1"/>
  <c r="F42" i="1"/>
  <c r="E42" i="1"/>
  <c r="E41" i="1"/>
  <c r="F41" i="1" s="1"/>
  <c r="E40" i="1"/>
  <c r="F40" i="1" s="1"/>
  <c r="E39" i="1"/>
  <c r="F39" i="1" s="1"/>
  <c r="F38" i="1"/>
  <c r="E38" i="1"/>
  <c r="E37" i="1"/>
  <c r="F37" i="1" s="1"/>
  <c r="E36" i="1"/>
  <c r="F36" i="1" s="1"/>
  <c r="E35" i="1"/>
  <c r="F35" i="1" s="1"/>
  <c r="F34" i="1"/>
  <c r="E34" i="1"/>
  <c r="E33" i="1"/>
  <c r="F33" i="1" s="1"/>
  <c r="E32" i="1"/>
  <c r="F32" i="1" s="1"/>
  <c r="E31" i="1"/>
  <c r="F31" i="1" s="1"/>
  <c r="F30" i="1"/>
  <c r="E30" i="1"/>
  <c r="E29" i="1"/>
  <c r="F29" i="1" s="1"/>
  <c r="E28" i="1"/>
  <c r="F28" i="1" s="1"/>
  <c r="E27" i="1"/>
  <c r="F27" i="1" s="1"/>
  <c r="F26" i="1"/>
  <c r="E26" i="1"/>
  <c r="E25" i="1"/>
  <c r="F25" i="1" s="1"/>
  <c r="E24" i="1"/>
  <c r="F24" i="1" s="1"/>
  <c r="E23" i="1"/>
  <c r="F23" i="1" s="1"/>
  <c r="F22" i="1"/>
  <c r="E22" i="1"/>
  <c r="E21" i="1"/>
  <c r="F21" i="1" s="1"/>
  <c r="E20" i="1"/>
  <c r="F20" i="1" s="1"/>
  <c r="E19" i="1"/>
  <c r="F19" i="1" s="1"/>
  <c r="F18" i="1"/>
  <c r="E18" i="1"/>
  <c r="E17" i="1"/>
  <c r="F17" i="1" s="1"/>
  <c r="E16" i="1"/>
  <c r="F16" i="1" s="1"/>
  <c r="E15" i="1"/>
  <c r="F15" i="1" s="1"/>
  <c r="F14" i="1"/>
  <c r="E14" i="1"/>
  <c r="E13" i="1"/>
  <c r="F12" i="1"/>
  <c r="E12" i="1"/>
  <c r="F11" i="1"/>
  <c r="E11" i="1"/>
  <c r="E10" i="1"/>
  <c r="F10" i="1" s="1"/>
  <c r="E9" i="1"/>
  <c r="F9" i="1" s="1"/>
  <c r="F8" i="1"/>
  <c r="E8" i="1"/>
  <c r="F7" i="1"/>
  <c r="E7" i="1"/>
  <c r="E6" i="1"/>
  <c r="F6" i="1" s="1"/>
  <c r="E5" i="1"/>
  <c r="F5" i="1" s="1"/>
  <c r="F4" i="1"/>
  <c r="E4" i="1"/>
  <c r="F3" i="1"/>
  <c r="E3" i="1"/>
  <c r="F2" i="1"/>
</calcChain>
</file>

<file path=xl/sharedStrings.xml><?xml version="1.0" encoding="utf-8"?>
<sst xmlns="http://schemas.openxmlformats.org/spreadsheetml/2006/main" count="1385" uniqueCount="907">
  <si>
    <t>Product</t>
  </si>
  <si>
    <t>Category</t>
  </si>
  <si>
    <t>SKU</t>
  </si>
  <si>
    <t>Units In Stock</t>
  </si>
  <si>
    <t>Unit Price</t>
  </si>
  <si>
    <t>Selling price</t>
  </si>
  <si>
    <t>Total Value</t>
  </si>
  <si>
    <t>Expire Date</t>
  </si>
  <si>
    <t>Nido L/S</t>
  </si>
  <si>
    <t>Vita Milk 1L</t>
  </si>
  <si>
    <t>10</t>
  </si>
  <si>
    <t>344.20</t>
  </si>
  <si>
    <t>Budweiser</t>
  </si>
  <si>
    <t>16</t>
  </si>
  <si>
    <t>320.00</t>
  </si>
  <si>
    <t>Peeva Water S/S</t>
  </si>
  <si>
    <t>Water</t>
  </si>
  <si>
    <t>137</t>
  </si>
  <si>
    <t>205.50</t>
  </si>
  <si>
    <t>Peeva Watch M/S</t>
  </si>
  <si>
    <t>85</t>
  </si>
  <si>
    <t>160.65</t>
  </si>
  <si>
    <t>Trustas New</t>
  </si>
  <si>
    <t>Food and drinks</t>
  </si>
  <si>
    <t>2</t>
  </si>
  <si>
    <t>78.34</t>
  </si>
  <si>
    <t>Sangria L/S</t>
  </si>
  <si>
    <t>4</t>
  </si>
  <si>
    <t>63.36</t>
  </si>
  <si>
    <t>Soklin 130G</t>
  </si>
  <si>
    <t>28</t>
  </si>
  <si>
    <t>225.47</t>
  </si>
  <si>
    <t>Voltic L/S New</t>
  </si>
  <si>
    <t>54</t>
  </si>
  <si>
    <t>288.36</t>
  </si>
  <si>
    <t>Redbull New</t>
  </si>
  <si>
    <t>19</t>
  </si>
  <si>
    <t>316.73</t>
  </si>
  <si>
    <t>Afri Bull New</t>
  </si>
  <si>
    <t>96</t>
  </si>
  <si>
    <t>375.36</t>
  </si>
  <si>
    <t>Ahomka Ginger</t>
  </si>
  <si>
    <t xml:space="preserve">Food  </t>
  </si>
  <si>
    <t>159</t>
  </si>
  <si>
    <t>44.52</t>
  </si>
  <si>
    <t>Kleensoft L/S</t>
  </si>
  <si>
    <t>9.46</t>
  </si>
  <si>
    <t>Oba Rice New</t>
  </si>
  <si>
    <t>30.52</t>
  </si>
  <si>
    <t>Supreme Wafer Biscuit</t>
  </si>
  <si>
    <t>Food</t>
  </si>
  <si>
    <t>1</t>
  </si>
  <si>
    <t>7.90</t>
  </si>
  <si>
    <t>Alife Soap</t>
  </si>
  <si>
    <t>12</t>
  </si>
  <si>
    <t>66.69</t>
  </si>
  <si>
    <t>Bonita Digestive</t>
  </si>
  <si>
    <t>14</t>
  </si>
  <si>
    <t>53.76</t>
  </si>
  <si>
    <t>Lamore Mix Biscuits</t>
  </si>
  <si>
    <t>20</t>
  </si>
  <si>
    <t>212.97</t>
  </si>
  <si>
    <t>Papy T-Roll</t>
  </si>
  <si>
    <t>108.80</t>
  </si>
  <si>
    <t>Flora Gaint</t>
  </si>
  <si>
    <t>34.33</t>
  </si>
  <si>
    <t>Flora T-Roll</t>
  </si>
  <si>
    <t>38.34</t>
  </si>
  <si>
    <t>Crunchy Wafa</t>
  </si>
  <si>
    <t>6</t>
  </si>
  <si>
    <t>23.04</t>
  </si>
  <si>
    <t>Can Sprite</t>
  </si>
  <si>
    <t>68</t>
  </si>
  <si>
    <t>482.80</t>
  </si>
  <si>
    <t>Vody New</t>
  </si>
  <si>
    <t>40</t>
  </si>
  <si>
    <t>533.60</t>
  </si>
  <si>
    <t>T Shirt 130</t>
  </si>
  <si>
    <t>200.00</t>
  </si>
  <si>
    <t>Rose Toffee</t>
  </si>
  <si>
    <t>37</t>
  </si>
  <si>
    <t>131.02</t>
  </si>
  <si>
    <t>Big Soul Gucci</t>
  </si>
  <si>
    <t>59.65</t>
  </si>
  <si>
    <t>Spray 180</t>
  </si>
  <si>
    <t>110.00</t>
  </si>
  <si>
    <t>Boss Shoes</t>
  </si>
  <si>
    <t>880.00</t>
  </si>
  <si>
    <t>Givenchh/Versace</t>
  </si>
  <si>
    <t>250.00</t>
  </si>
  <si>
    <t>Center Filled</t>
  </si>
  <si>
    <t>116</t>
  </si>
  <si>
    <t>243.37</t>
  </si>
  <si>
    <t>Koppanberg Drink</t>
  </si>
  <si>
    <t>47</t>
  </si>
  <si>
    <t>789.53</t>
  </si>
  <si>
    <t>Orient Toffee</t>
  </si>
  <si>
    <t>36</t>
  </si>
  <si>
    <t>115.81</t>
  </si>
  <si>
    <t>Ashford Brush</t>
  </si>
  <si>
    <t>22</t>
  </si>
  <si>
    <t>100.73</t>
  </si>
  <si>
    <t>Ideal Fruit Toffee</t>
  </si>
  <si>
    <t>94</t>
  </si>
  <si>
    <t>167.97</t>
  </si>
  <si>
    <t>Verna L/S</t>
  </si>
  <si>
    <t>8</t>
  </si>
  <si>
    <t>40.00</t>
  </si>
  <si>
    <t>Bullet New</t>
  </si>
  <si>
    <t>51</t>
  </si>
  <si>
    <t>617.10</t>
  </si>
  <si>
    <t>Bonny Drink</t>
  </si>
  <si>
    <t>23</t>
  </si>
  <si>
    <t>220.49</t>
  </si>
  <si>
    <t>Aloe Vera Mango</t>
  </si>
  <si>
    <t>11</t>
  </si>
  <si>
    <t>198.00</t>
  </si>
  <si>
    <t>Don Simon Can</t>
  </si>
  <si>
    <t>9</t>
  </si>
  <si>
    <t>144.00</t>
  </si>
  <si>
    <t>Vita Milk</t>
  </si>
  <si>
    <t>27</t>
  </si>
  <si>
    <t>348.84</t>
  </si>
  <si>
    <t>Heineken Bottle New</t>
  </si>
  <si>
    <t>18</t>
  </si>
  <si>
    <t>397.80</t>
  </si>
  <si>
    <t>Albest Drink</t>
  </si>
  <si>
    <t>124.30</t>
  </si>
  <si>
    <t>Bel Aquah S/S</t>
  </si>
  <si>
    <t>259.84</t>
  </si>
  <si>
    <t>Bel Aquah 1L</t>
  </si>
  <si>
    <t>106</t>
  </si>
  <si>
    <t>495.96</t>
  </si>
  <si>
    <t>Awake S/S New</t>
  </si>
  <si>
    <t>24</t>
  </si>
  <si>
    <t>42.00</t>
  </si>
  <si>
    <t>King Size</t>
  </si>
  <si>
    <t>130.00</t>
  </si>
  <si>
    <t>Daddey Biscuits</t>
  </si>
  <si>
    <t>5</t>
  </si>
  <si>
    <t>278.57</t>
  </si>
  <si>
    <t>Men Top/Down Short</t>
  </si>
  <si>
    <t>270.00</t>
  </si>
  <si>
    <t>Expensive T-Shirt</t>
  </si>
  <si>
    <t>2173.33</t>
  </si>
  <si>
    <t>Men Wear Top&amp;Down</t>
  </si>
  <si>
    <t>600.00</t>
  </si>
  <si>
    <t>Night Club/Intense Nor</t>
  </si>
  <si>
    <t>336.00</t>
  </si>
  <si>
    <t>Aloe Vera Original</t>
  </si>
  <si>
    <t>1654.17</t>
  </si>
  <si>
    <t>Essential T&amp;D</t>
  </si>
  <si>
    <t>560.00</t>
  </si>
  <si>
    <t>Plain Hoodie</t>
  </si>
  <si>
    <t>3</t>
  </si>
  <si>
    <t>570.00</t>
  </si>
  <si>
    <t>Diamon T-Shirt</t>
  </si>
  <si>
    <t>70.00</t>
  </si>
  <si>
    <t>Albest Aloe Vera</t>
  </si>
  <si>
    <t>612.48</t>
  </si>
  <si>
    <t>Line Shirt New</t>
  </si>
  <si>
    <t>85.00</t>
  </si>
  <si>
    <t>Brown Sugar L/S</t>
  </si>
  <si>
    <t>183.33</t>
  </si>
  <si>
    <t>Khaki Short</t>
  </si>
  <si>
    <t>813.33</t>
  </si>
  <si>
    <t>Enapa Sardine</t>
  </si>
  <si>
    <t>706.67</t>
  </si>
  <si>
    <t>Grey Walk</t>
  </si>
  <si>
    <t>380.00</t>
  </si>
  <si>
    <t>Long Sleeve</t>
  </si>
  <si>
    <t>1333.33</t>
  </si>
  <si>
    <t>Richy Biscuits</t>
  </si>
  <si>
    <t>461.54</t>
  </si>
  <si>
    <t>Yomi Exotic</t>
  </si>
  <si>
    <t>66.00</t>
  </si>
  <si>
    <t>Grandy</t>
  </si>
  <si>
    <t>100.00</t>
  </si>
  <si>
    <t>Vita Milk New</t>
  </si>
  <si>
    <t>71</t>
  </si>
  <si>
    <t>1008.34</t>
  </si>
  <si>
    <t>200 Biscuits</t>
  </si>
  <si>
    <t>111.00</t>
  </si>
  <si>
    <t>Choice Spray</t>
  </si>
  <si>
    <t>116.00</t>
  </si>
  <si>
    <t>Dear Body S/S</t>
  </si>
  <si>
    <t>24.00</t>
  </si>
  <si>
    <t>Dear Body L/S</t>
  </si>
  <si>
    <t>135.00</t>
  </si>
  <si>
    <t>Galaxy B/S</t>
  </si>
  <si>
    <t>126.00</t>
  </si>
  <si>
    <t>Lip Bam</t>
  </si>
  <si>
    <t>32.00</t>
  </si>
  <si>
    <t>Soft Fragrance</t>
  </si>
  <si>
    <t>7</t>
  </si>
  <si>
    <t>350.00</t>
  </si>
  <si>
    <t>Dark Brown</t>
  </si>
  <si>
    <t>225.00</t>
  </si>
  <si>
    <t>Vip Men Blue</t>
  </si>
  <si>
    <t>55.00</t>
  </si>
  <si>
    <t>Next Level</t>
  </si>
  <si>
    <t>34</t>
  </si>
  <si>
    <t>692.60</t>
  </si>
  <si>
    <t>Fakhar Lattafa Spray</t>
  </si>
  <si>
    <t>310.00</t>
  </si>
  <si>
    <t>Gezer Slippers</t>
  </si>
  <si>
    <t>186.67</t>
  </si>
  <si>
    <t>Beta Malt New</t>
  </si>
  <si>
    <t>26</t>
  </si>
  <si>
    <t>362.00</t>
  </si>
  <si>
    <t>Short Sleeve</t>
  </si>
  <si>
    <t>847.78</t>
  </si>
  <si>
    <t>Nivea Firming Q10</t>
  </si>
  <si>
    <t>180.00</t>
  </si>
  <si>
    <t>Motive Deo Spray</t>
  </si>
  <si>
    <t>256.00</t>
  </si>
  <si>
    <t>Plantaian Chips</t>
  </si>
  <si>
    <t>29</t>
  </si>
  <si>
    <t>261.00</t>
  </si>
  <si>
    <t>Chin Chin New</t>
  </si>
  <si>
    <t>48</t>
  </si>
  <si>
    <t>826.77</t>
  </si>
  <si>
    <t>Ginger Bis.Original</t>
  </si>
  <si>
    <t>150.53</t>
  </si>
  <si>
    <t>Irish Soap</t>
  </si>
  <si>
    <t>38</t>
  </si>
  <si>
    <t>465.82</t>
  </si>
  <si>
    <t>W.D.M/Kalusini</t>
  </si>
  <si>
    <t>Lux Boxer</t>
  </si>
  <si>
    <t>Yarrison Boxer</t>
  </si>
  <si>
    <t>56.00</t>
  </si>
  <si>
    <t>Ladies Pant 8 In 1</t>
  </si>
  <si>
    <t>90.00</t>
  </si>
  <si>
    <t>Ladies Pant 6 In 1</t>
  </si>
  <si>
    <t>255.00</t>
  </si>
  <si>
    <t>Santex Soap</t>
  </si>
  <si>
    <t>320.04</t>
  </si>
  <si>
    <t>G.String Pant</t>
  </si>
  <si>
    <t>Bel Aquah M/S</t>
  </si>
  <si>
    <t>110</t>
  </si>
  <si>
    <t>330.00</t>
  </si>
  <si>
    <t>Sister Pomade</t>
  </si>
  <si>
    <t>Princes Boby Cream</t>
  </si>
  <si>
    <t>19.00</t>
  </si>
  <si>
    <t>Savlon</t>
  </si>
  <si>
    <t>120.00</t>
  </si>
  <si>
    <t>Hat Stoneboy</t>
  </si>
  <si>
    <t>Lucozade Can New</t>
  </si>
  <si>
    <t>409.00</t>
  </si>
  <si>
    <t>Welch New</t>
  </si>
  <si>
    <t>233.79</t>
  </si>
  <si>
    <t>Fax S/S</t>
  </si>
  <si>
    <t>325.00</t>
  </si>
  <si>
    <t>Detol</t>
  </si>
  <si>
    <t>68.68</t>
  </si>
  <si>
    <t>Milo Tin</t>
  </si>
  <si>
    <t>204.00</t>
  </si>
  <si>
    <t>Palc Polish New</t>
  </si>
  <si>
    <t>Lacoste&amp;Fendi Slippers</t>
  </si>
  <si>
    <t>86.54</t>
  </si>
  <si>
    <t>Body Splash</t>
  </si>
  <si>
    <t>84.00</t>
  </si>
  <si>
    <t>Vesercse Shoe</t>
  </si>
  <si>
    <t>76.00</t>
  </si>
  <si>
    <t>Dove Shower Gel</t>
  </si>
  <si>
    <t>136.00</t>
  </si>
  <si>
    <t>Santos Toffee</t>
  </si>
  <si>
    <t>289</t>
  </si>
  <si>
    <t>49.13</t>
  </si>
  <si>
    <t>Santos Gum</t>
  </si>
  <si>
    <t>273</t>
  </si>
  <si>
    <t>49.14</t>
  </si>
  <si>
    <t>Plantain Chips M/S</t>
  </si>
  <si>
    <t>228.40</t>
  </si>
  <si>
    <t>Berk</t>
  </si>
  <si>
    <t>279.75</t>
  </si>
  <si>
    <t>T-Shirt 120</t>
  </si>
  <si>
    <t>400.00</t>
  </si>
  <si>
    <t>Camel</t>
  </si>
  <si>
    <t>225.03</t>
  </si>
  <si>
    <t>Ko-Star Shirt</t>
  </si>
  <si>
    <t>140.00</t>
  </si>
  <si>
    <t>Belt</t>
  </si>
  <si>
    <t>Reef Slippers</t>
  </si>
  <si>
    <t>Lucie Age</t>
  </si>
  <si>
    <t>582.86</t>
  </si>
  <si>
    <t>Verna S/S</t>
  </si>
  <si>
    <t>157</t>
  </si>
  <si>
    <t>672.19</t>
  </si>
  <si>
    <t>Sebago</t>
  </si>
  <si>
    <t>220.00</t>
  </si>
  <si>
    <t>Colgate Bruh Double</t>
  </si>
  <si>
    <t>246.16</t>
  </si>
  <si>
    <t>Lowfers New</t>
  </si>
  <si>
    <t>855.00</t>
  </si>
  <si>
    <t>Marti Ellis New</t>
  </si>
  <si>
    <t>766.50</t>
  </si>
  <si>
    <t>Broom Spray</t>
  </si>
  <si>
    <t>51.56</t>
  </si>
  <si>
    <t>Lacost 140</t>
  </si>
  <si>
    <t>500.00</t>
  </si>
  <si>
    <t>Colgate Past Value Pack</t>
  </si>
  <si>
    <t>49.01</t>
  </si>
  <si>
    <t>Fóot Wear</t>
  </si>
  <si>
    <t>700.02</t>
  </si>
  <si>
    <t>Baykar Pant</t>
  </si>
  <si>
    <t>240.00</t>
  </si>
  <si>
    <t>Arizona Green Tea New</t>
  </si>
  <si>
    <t>499.35</t>
  </si>
  <si>
    <t>Oud De Arabra Spray</t>
  </si>
  <si>
    <t>Oumohan Pant</t>
  </si>
  <si>
    <t>54.40</t>
  </si>
  <si>
    <t>Expensive Belt</t>
  </si>
  <si>
    <t>450.00</t>
  </si>
  <si>
    <t>Fruit Of The Loom</t>
  </si>
  <si>
    <t>164.00</t>
  </si>
  <si>
    <t>Lux&amp;Yarrison</t>
  </si>
  <si>
    <t>397.50</t>
  </si>
  <si>
    <t>Pure Line</t>
  </si>
  <si>
    <t>576.00</t>
  </si>
  <si>
    <t>Harmony L/S</t>
  </si>
  <si>
    <t>235.00</t>
  </si>
  <si>
    <t>Double Pocket/Polo</t>
  </si>
  <si>
    <t>613.93</t>
  </si>
  <si>
    <t>Yazz Brush</t>
  </si>
  <si>
    <t>21</t>
  </si>
  <si>
    <t>179.83</t>
  </si>
  <si>
    <t>Rigth Guard Deo Spray</t>
  </si>
  <si>
    <t>221.54</t>
  </si>
  <si>
    <t>Tommy Finger</t>
  </si>
  <si>
    <t>Pocket Tissue New</t>
  </si>
  <si>
    <t>30</t>
  </si>
  <si>
    <t>36.00</t>
  </si>
  <si>
    <t>Nivea Coco Butter New</t>
  </si>
  <si>
    <t>50.00</t>
  </si>
  <si>
    <t>U-Fresh New</t>
  </si>
  <si>
    <t>240.84</t>
  </si>
  <si>
    <t>Ideal Milk</t>
  </si>
  <si>
    <t>421.33</t>
  </si>
  <si>
    <t>Oba Rice</t>
  </si>
  <si>
    <t>207.00</t>
  </si>
  <si>
    <t>Oba Spage New</t>
  </si>
  <si>
    <t>112.00</t>
  </si>
  <si>
    <t>Lucozade Bottle L/S</t>
  </si>
  <si>
    <t>188.67</t>
  </si>
  <si>
    <t>Harmony S/S</t>
  </si>
  <si>
    <t>26.11</t>
  </si>
  <si>
    <t>Wellman New</t>
  </si>
  <si>
    <t>39</t>
  </si>
  <si>
    <t>856.05</t>
  </si>
  <si>
    <t>Panache New</t>
  </si>
  <si>
    <t>300.00</t>
  </si>
  <si>
    <t>Enapa Tuna</t>
  </si>
  <si>
    <t>Infinity Deo Spray</t>
  </si>
  <si>
    <t>151.38</t>
  </si>
  <si>
    <t>Khakei New</t>
  </si>
  <si>
    <t>160.00</t>
  </si>
  <si>
    <t>Armless Net</t>
  </si>
  <si>
    <t>775.00</t>
  </si>
  <si>
    <t>Topco Soap</t>
  </si>
  <si>
    <t>17</t>
  </si>
  <si>
    <t>196.58</t>
  </si>
  <si>
    <t>Lux V &amp; Round Neck</t>
  </si>
  <si>
    <t>630.00</t>
  </si>
  <si>
    <t>Aloe Vera New</t>
  </si>
  <si>
    <t>Vega Spackling</t>
  </si>
  <si>
    <t>13.34</t>
  </si>
  <si>
    <t>Festival</t>
  </si>
  <si>
    <t>Colgate Bruh Single</t>
  </si>
  <si>
    <t>318.80</t>
  </si>
  <si>
    <t>Awake S/S</t>
  </si>
  <si>
    <t>135</t>
  </si>
  <si>
    <t>393.48</t>
  </si>
  <si>
    <t>Classic Chocolate S/S</t>
  </si>
  <si>
    <t>15</t>
  </si>
  <si>
    <t>53.25</t>
  </si>
  <si>
    <t>Parisa Soap</t>
  </si>
  <si>
    <t>119.05</t>
  </si>
  <si>
    <t>Molinera Drink L/S</t>
  </si>
  <si>
    <t>108.00</t>
  </si>
  <si>
    <t>Fres Soap</t>
  </si>
  <si>
    <t>65.53</t>
  </si>
  <si>
    <t>Life Buoy Soap</t>
  </si>
  <si>
    <t>444.00</t>
  </si>
  <si>
    <t>Nivea Coco</t>
  </si>
  <si>
    <t>294.00</t>
  </si>
  <si>
    <t>Hotice Deo Spray</t>
  </si>
  <si>
    <t>385.63</t>
  </si>
  <si>
    <t>La Bella Soap</t>
  </si>
  <si>
    <t>315.78</t>
  </si>
  <si>
    <t>Tomtom</t>
  </si>
  <si>
    <t>101</t>
  </si>
  <si>
    <t>70.91</t>
  </si>
  <si>
    <t>Stone Bubu Dress</t>
  </si>
  <si>
    <t>Stone Dress</t>
  </si>
  <si>
    <t>Black Net Dress</t>
  </si>
  <si>
    <t>G-String New</t>
  </si>
  <si>
    <t>365.63</t>
  </si>
  <si>
    <t>Skirt &amp; Top</t>
  </si>
  <si>
    <t>Maggico Soap</t>
  </si>
  <si>
    <t>475.42</t>
  </si>
  <si>
    <t>Short Nicker</t>
  </si>
  <si>
    <t>Plain Lacost</t>
  </si>
  <si>
    <t>360.00</t>
  </si>
  <si>
    <t>Diva Soap</t>
  </si>
  <si>
    <t>833.22</t>
  </si>
  <si>
    <t>K&amp;G Lacost</t>
  </si>
  <si>
    <t>720.00</t>
  </si>
  <si>
    <t>Floor Cleaner</t>
  </si>
  <si>
    <t>Coke New</t>
  </si>
  <si>
    <t>195.02</t>
  </si>
  <si>
    <t>Sport</t>
  </si>
  <si>
    <t>Timberland Slippers</t>
  </si>
  <si>
    <t>Expensive Crocs</t>
  </si>
  <si>
    <t>125.23</t>
  </si>
  <si>
    <t>Ceres New</t>
  </si>
  <si>
    <t>-2</t>
  </si>
  <si>
    <t>-46.75</t>
  </si>
  <si>
    <t>Lord Shaving</t>
  </si>
  <si>
    <t>251.78</t>
  </si>
  <si>
    <t>Packed Biscuit</t>
  </si>
  <si>
    <t>691.07</t>
  </si>
  <si>
    <t>Freeman Shoe</t>
  </si>
  <si>
    <t>40.03</t>
  </si>
  <si>
    <t>Zakuro Soap</t>
  </si>
  <si>
    <t>144.39</t>
  </si>
  <si>
    <t>Bb Cocktail New</t>
  </si>
  <si>
    <t>34.82</t>
  </si>
  <si>
    <t>Mentos Sachete</t>
  </si>
  <si>
    <t>340</t>
  </si>
  <si>
    <t>239.37</t>
  </si>
  <si>
    <t>Bic Shaving</t>
  </si>
  <si>
    <t>222.42</t>
  </si>
  <si>
    <t>Pronto S/S</t>
  </si>
  <si>
    <t>101.85</t>
  </si>
  <si>
    <t>Triple Ment</t>
  </si>
  <si>
    <t>69</t>
  </si>
  <si>
    <t>170.68</t>
  </si>
  <si>
    <t>Sibo 500Ml</t>
  </si>
  <si>
    <t>80.01</t>
  </si>
  <si>
    <t>Sibo 200Ml</t>
  </si>
  <si>
    <t>158.40</t>
  </si>
  <si>
    <t>Bb Coctail</t>
  </si>
  <si>
    <t>112.38</t>
  </si>
  <si>
    <t>Slimfit Water</t>
  </si>
  <si>
    <t>79</t>
  </si>
  <si>
    <t>339.70</t>
  </si>
  <si>
    <t>5 Star</t>
  </si>
  <si>
    <t>251.16</t>
  </si>
  <si>
    <t>Don Simon New</t>
  </si>
  <si>
    <t>632.53</t>
  </si>
  <si>
    <t>Choco Malt</t>
  </si>
  <si>
    <t>136.23</t>
  </si>
  <si>
    <t>Tonic</t>
  </si>
  <si>
    <t>62.68</t>
  </si>
  <si>
    <t>Soda Water</t>
  </si>
  <si>
    <t>36.67</t>
  </si>
  <si>
    <t>Fanta Coke Tail</t>
  </si>
  <si>
    <t>187.22</t>
  </si>
  <si>
    <t>Bel Malt</t>
  </si>
  <si>
    <t>154.51</t>
  </si>
  <si>
    <t>Packed Chips L/S</t>
  </si>
  <si>
    <t>376.48</t>
  </si>
  <si>
    <t>Rich In Calcium M/S</t>
  </si>
  <si>
    <t>37.13</t>
  </si>
  <si>
    <t>Fly Fast</t>
  </si>
  <si>
    <t>Crocs</t>
  </si>
  <si>
    <t>185.00</t>
  </si>
  <si>
    <t>Vitamilk M/S</t>
  </si>
  <si>
    <t>Fanmax</t>
  </si>
  <si>
    <t>622.78</t>
  </si>
  <si>
    <t>Executive Brush</t>
  </si>
  <si>
    <t>468.53</t>
  </si>
  <si>
    <t>Zuyo Soap</t>
  </si>
  <si>
    <t>489.94</t>
  </si>
  <si>
    <t>Delacruz</t>
  </si>
  <si>
    <t>Dorco Shaving Stick</t>
  </si>
  <si>
    <t>12.35</t>
  </si>
  <si>
    <t>Ever Sheen Lotion S/S</t>
  </si>
  <si>
    <t>31.33</t>
  </si>
  <si>
    <t>Dove Spray</t>
  </si>
  <si>
    <t>Sponge</t>
  </si>
  <si>
    <t>John Faster</t>
  </si>
  <si>
    <t>92.50</t>
  </si>
  <si>
    <t>Smirnoff Can New</t>
  </si>
  <si>
    <t>476.48</t>
  </si>
  <si>
    <t>Package Towel</t>
  </si>
  <si>
    <t>Lowfers</t>
  </si>
  <si>
    <t>Star Kist Tuna</t>
  </si>
  <si>
    <t>63.93</t>
  </si>
  <si>
    <t>Oat</t>
  </si>
  <si>
    <t>494.38</t>
  </si>
  <si>
    <t>Perk Biscuit</t>
  </si>
  <si>
    <t>-14.79</t>
  </si>
  <si>
    <t>Pet Cok 1L</t>
  </si>
  <si>
    <t>286.00</t>
  </si>
  <si>
    <t>Boss</t>
  </si>
  <si>
    <t>Popular Milk New</t>
  </si>
  <si>
    <t>-1</t>
  </si>
  <si>
    <t>-24.21</t>
  </si>
  <si>
    <t>Men Sandals</t>
  </si>
  <si>
    <t>Material Trosers</t>
  </si>
  <si>
    <t>845.22</t>
  </si>
  <si>
    <t>Vinut</t>
  </si>
  <si>
    <t>303.33</t>
  </si>
  <si>
    <t>Savana</t>
  </si>
  <si>
    <t>427.87</t>
  </si>
  <si>
    <t>Guinness Can</t>
  </si>
  <si>
    <t>173.52</t>
  </si>
  <si>
    <t>Short Bread Cremica</t>
  </si>
  <si>
    <t>21.25</t>
  </si>
  <si>
    <t>Bombom Lucky Land</t>
  </si>
  <si>
    <t>23.78</t>
  </si>
  <si>
    <t>Creamo Biscuit</t>
  </si>
  <si>
    <t>41</t>
  </si>
  <si>
    <t>280.71</t>
  </si>
  <si>
    <t>Bay Africa</t>
  </si>
  <si>
    <t>107.94</t>
  </si>
  <si>
    <t>Jack &amp; Jill Pillow</t>
  </si>
  <si>
    <t>195.00</t>
  </si>
  <si>
    <t>Sex On The Beach</t>
  </si>
  <si>
    <t>160.09</t>
  </si>
  <si>
    <t>Chocolate Chips</t>
  </si>
  <si>
    <t>13</t>
  </si>
  <si>
    <t>76.36</t>
  </si>
  <si>
    <t>Delight Cookies</t>
  </si>
  <si>
    <t>135.90</t>
  </si>
  <si>
    <t>Short Bread Fingers</t>
  </si>
  <si>
    <t>131.60</t>
  </si>
  <si>
    <t>Gold Marie Biscuits</t>
  </si>
  <si>
    <t>281.89</t>
  </si>
  <si>
    <t>Ginger Cookies</t>
  </si>
  <si>
    <t>113.33</t>
  </si>
  <si>
    <t>Rich In Calcium L/</t>
  </si>
  <si>
    <t>305.39</t>
  </si>
  <si>
    <t>Choco Mo</t>
  </si>
  <si>
    <t>321.20</t>
  </si>
  <si>
    <t>Fruteli New</t>
  </si>
  <si>
    <t>368.27</t>
  </si>
  <si>
    <t>Arizona Green Tea</t>
  </si>
  <si>
    <t>122.50</t>
  </si>
  <si>
    <t>Digestive Choco</t>
  </si>
  <si>
    <t>1270.50</t>
  </si>
  <si>
    <t>Can Malt Gh New</t>
  </si>
  <si>
    <t>369.03</t>
  </si>
  <si>
    <t>Milk Stick Biscuit</t>
  </si>
  <si>
    <t>15.37</t>
  </si>
  <si>
    <t>Super Ment</t>
  </si>
  <si>
    <t>70.47</t>
  </si>
  <si>
    <t>Pet Coke S/S</t>
  </si>
  <si>
    <t>-5.27</t>
  </si>
  <si>
    <t>Pet Coke M/S</t>
  </si>
  <si>
    <t>172.69</t>
  </si>
  <si>
    <t>Rice 1Kg</t>
  </si>
  <si>
    <t>Schnapp</t>
  </si>
  <si>
    <t>527.28</t>
  </si>
  <si>
    <t>Vitrac S/S</t>
  </si>
  <si>
    <t>234.60</t>
  </si>
  <si>
    <t>Vitrac L/S</t>
  </si>
  <si>
    <t>473.50</t>
  </si>
  <si>
    <t>Rasta Malt S/S</t>
  </si>
  <si>
    <t>6.84</t>
  </si>
  <si>
    <t>Tampico M/S</t>
  </si>
  <si>
    <t>89.99</t>
  </si>
  <si>
    <t>Storm S/S</t>
  </si>
  <si>
    <t>33</t>
  </si>
  <si>
    <t>141.37</t>
  </si>
  <si>
    <t>Jack &amp; Jill</t>
  </si>
  <si>
    <t>6.81</t>
  </si>
  <si>
    <t>Bathroom Slippers</t>
  </si>
  <si>
    <t>128.41</t>
  </si>
  <si>
    <t>Keyholder Shoe</t>
  </si>
  <si>
    <t>7.00</t>
  </si>
  <si>
    <t>Net Shirt</t>
  </si>
  <si>
    <t>133.82</t>
  </si>
  <si>
    <t>Timberland</t>
  </si>
  <si>
    <t>95.89</t>
  </si>
  <si>
    <t>St.Philps Shirt</t>
  </si>
  <si>
    <t>187.09</t>
  </si>
  <si>
    <t>Frytol New</t>
  </si>
  <si>
    <t>243.43</t>
  </si>
  <si>
    <t>Perk Cookies</t>
  </si>
  <si>
    <t>141.76</t>
  </si>
  <si>
    <t>Welch Grabs</t>
  </si>
  <si>
    <t>67.11</t>
  </si>
  <si>
    <t>Shirt</t>
  </si>
  <si>
    <t>243.16</t>
  </si>
  <si>
    <t>Jeans New</t>
  </si>
  <si>
    <t>902.05</t>
  </si>
  <si>
    <t>Lux Singlet New</t>
  </si>
  <si>
    <t>Chase Deer Singlet</t>
  </si>
  <si>
    <t>142.50</t>
  </si>
  <si>
    <t>Face Towel</t>
  </si>
  <si>
    <t>123.04</t>
  </si>
  <si>
    <t>Original Lacoste</t>
  </si>
  <si>
    <t>260.00</t>
  </si>
  <si>
    <t>Yarrison Singlet</t>
  </si>
  <si>
    <t>Handkey New</t>
  </si>
  <si>
    <t>59</t>
  </si>
  <si>
    <t>283.46</t>
  </si>
  <si>
    <t>Unique Check Shirt</t>
  </si>
  <si>
    <t>75.00</t>
  </si>
  <si>
    <t>Lyn New</t>
  </si>
  <si>
    <t>422.22</t>
  </si>
  <si>
    <t>T-Shirt Cotton</t>
  </si>
  <si>
    <t>325.71</t>
  </si>
  <si>
    <t>Shoe</t>
  </si>
  <si>
    <t>680.00</t>
  </si>
  <si>
    <t>Lewis Shoe</t>
  </si>
  <si>
    <t>Side Pockets Shorts (Men 115)</t>
  </si>
  <si>
    <t>575.00</t>
  </si>
  <si>
    <t>Armless 130</t>
  </si>
  <si>
    <t>760.00</t>
  </si>
  <si>
    <t>T-Shirt New</t>
  </si>
  <si>
    <t>1800.00</t>
  </si>
  <si>
    <t>Frosty Bite 550Ml</t>
  </si>
  <si>
    <t>224.00</t>
  </si>
  <si>
    <t>Fanice</t>
  </si>
  <si>
    <t>57</t>
  </si>
  <si>
    <t>199.02</t>
  </si>
  <si>
    <t>Fanice 500Ml</t>
  </si>
  <si>
    <t>149.14</t>
  </si>
  <si>
    <t>80.00</t>
  </si>
  <si>
    <t>Pure Water</t>
  </si>
  <si>
    <t>172</t>
  </si>
  <si>
    <t>46.01</t>
  </si>
  <si>
    <t>Shirt 130</t>
  </si>
  <si>
    <t>Face Towel White</t>
  </si>
  <si>
    <t>50.40</t>
  </si>
  <si>
    <t>Hh Sardine</t>
  </si>
  <si>
    <t>8.00</t>
  </si>
  <si>
    <t>Abena Sardine</t>
  </si>
  <si>
    <t>Beef Pate</t>
  </si>
  <si>
    <t>70.67</t>
  </si>
  <si>
    <t>Storm Energy L/S</t>
  </si>
  <si>
    <t>94.58</t>
  </si>
  <si>
    <t>Lucozade Bottle S/S New</t>
  </si>
  <si>
    <t>229.94</t>
  </si>
  <si>
    <t>Fanta Can</t>
  </si>
  <si>
    <t>114.69</t>
  </si>
  <si>
    <t>Redbull</t>
  </si>
  <si>
    <t>200.97</t>
  </si>
  <si>
    <t>Beaked Beans</t>
  </si>
  <si>
    <t>26.90</t>
  </si>
  <si>
    <t>Necklace 60</t>
  </si>
  <si>
    <t>Necklace 50</t>
  </si>
  <si>
    <t>60.00</t>
  </si>
  <si>
    <t>Blue Jeans</t>
  </si>
  <si>
    <t>50</t>
  </si>
  <si>
    <t>999.80</t>
  </si>
  <si>
    <t>Faxe</t>
  </si>
  <si>
    <t>415.73</t>
  </si>
  <si>
    <t>Vody Vodka</t>
  </si>
  <si>
    <t>63.52</t>
  </si>
  <si>
    <t>Choka Gold</t>
  </si>
  <si>
    <t>30.00</t>
  </si>
  <si>
    <t>Citizen Watch</t>
  </si>
  <si>
    <t>Wrist Watch 200</t>
  </si>
  <si>
    <t>Top 40 Ladies</t>
  </si>
  <si>
    <t>150.00</t>
  </si>
  <si>
    <t>Dress 60/Top</t>
  </si>
  <si>
    <t>Dress 100</t>
  </si>
  <si>
    <t>280.00</t>
  </si>
  <si>
    <t>Dress 50</t>
  </si>
  <si>
    <t>Dress 70</t>
  </si>
  <si>
    <t>640.00</t>
  </si>
  <si>
    <t>T-Shirt</t>
  </si>
  <si>
    <t>118.00</t>
  </si>
  <si>
    <t>Jam Suite</t>
  </si>
  <si>
    <t>770.00</t>
  </si>
  <si>
    <t>Smirnoff Rasberry</t>
  </si>
  <si>
    <t>Tanqueray Short</t>
  </si>
  <si>
    <t>White Hall Chocolate</t>
  </si>
  <si>
    <t>8Pm Large</t>
  </si>
  <si>
    <t>Captain Morgan Black</t>
  </si>
  <si>
    <t>Black Label 1Liter</t>
  </si>
  <si>
    <t>1042.56</t>
  </si>
  <si>
    <t>Bella Venas Small</t>
  </si>
  <si>
    <t>298.18</t>
  </si>
  <si>
    <t>Tshirt 80</t>
  </si>
  <si>
    <t>Men Cap</t>
  </si>
  <si>
    <t>Lyn Top Shirt</t>
  </si>
  <si>
    <t>Material Trouser</t>
  </si>
  <si>
    <t>Men Body Top</t>
  </si>
  <si>
    <t>Lacost 130 New</t>
  </si>
  <si>
    <t>985.71</t>
  </si>
  <si>
    <t>Armless New</t>
  </si>
  <si>
    <t>Tshirt 70</t>
  </si>
  <si>
    <t>Men Long Sleeves</t>
  </si>
  <si>
    <t>Jeans Trouser</t>
  </si>
  <si>
    <t>2233.33</t>
  </si>
  <si>
    <t>Khakhi Men Trousers</t>
  </si>
  <si>
    <t>2548.89</t>
  </si>
  <si>
    <t>Batakari</t>
  </si>
  <si>
    <t>African Wear Top&amp;Down</t>
  </si>
  <si>
    <t>900.00</t>
  </si>
  <si>
    <t>Fashion Lacost</t>
  </si>
  <si>
    <t>2069.57</t>
  </si>
  <si>
    <t>Lacoste 120</t>
  </si>
  <si>
    <t>Lacost 150</t>
  </si>
  <si>
    <t>2520.00</t>
  </si>
  <si>
    <t>Big Shirt 130</t>
  </si>
  <si>
    <t>Polo Lacoste Big</t>
  </si>
  <si>
    <t>Shirts 170</t>
  </si>
  <si>
    <t>520.00</t>
  </si>
  <si>
    <t>Beck Sandals</t>
  </si>
  <si>
    <t>Bumber Niker</t>
  </si>
  <si>
    <t>Walabis</t>
  </si>
  <si>
    <t>Great Models</t>
  </si>
  <si>
    <t>Shoe 250</t>
  </si>
  <si>
    <t>Shoe 300</t>
  </si>
  <si>
    <t>Wheat Drink Small</t>
  </si>
  <si>
    <t>36.42</t>
  </si>
  <si>
    <t>Wheat Dring L/S</t>
  </si>
  <si>
    <t>82.26</t>
  </si>
  <si>
    <t>Heaven Spray</t>
  </si>
  <si>
    <t>185.16</t>
  </si>
  <si>
    <t>Colgate Bruh Black</t>
  </si>
  <si>
    <t>133.32</t>
  </si>
  <si>
    <t>Origin Bitters Small</t>
  </si>
  <si>
    <t>39.17</t>
  </si>
  <si>
    <t>Raid Spray</t>
  </si>
  <si>
    <t>64.00</t>
  </si>
  <si>
    <t>Out Spray</t>
  </si>
  <si>
    <t>234.00</t>
  </si>
  <si>
    <t>Colgate Past Maximum</t>
  </si>
  <si>
    <t>162.46</t>
  </si>
  <si>
    <t>Farscent Air Freshner</t>
  </si>
  <si>
    <t>105.00</t>
  </si>
  <si>
    <t>Proper Pad</t>
  </si>
  <si>
    <t>39.60</t>
  </si>
  <si>
    <t>Akwaaba Tissue</t>
  </si>
  <si>
    <t>81.00</t>
  </si>
  <si>
    <t>Shinefeel Troll</t>
  </si>
  <si>
    <t>56.65</t>
  </si>
  <si>
    <t>Don Leon Cuvee</t>
  </si>
  <si>
    <t>540.00</t>
  </si>
  <si>
    <t>Vip Brush</t>
  </si>
  <si>
    <t>28.25</t>
  </si>
  <si>
    <t>Sure Spray</t>
  </si>
  <si>
    <t>276.00</t>
  </si>
  <si>
    <t>Dove Spray New</t>
  </si>
  <si>
    <t>39.50</t>
  </si>
  <si>
    <t>Fanice Cup 250Ml</t>
  </si>
  <si>
    <t>255.26</t>
  </si>
  <si>
    <t>Fanice Cup 150Ml</t>
  </si>
  <si>
    <t>82</t>
  </si>
  <si>
    <t>497.00</t>
  </si>
  <si>
    <t>Fanchoco</t>
  </si>
  <si>
    <t>134.55</t>
  </si>
  <si>
    <t>Manchester Rice</t>
  </si>
  <si>
    <t>125.56</t>
  </si>
  <si>
    <t>Vaseline Cream L/S</t>
  </si>
  <si>
    <t>141.00</t>
  </si>
  <si>
    <t>Rox Energy Drink</t>
  </si>
  <si>
    <t>735.99</t>
  </si>
  <si>
    <t>Ceres Drink</t>
  </si>
  <si>
    <t>341.12</t>
  </si>
  <si>
    <t>Pet Coke 1.5Liters</t>
  </si>
  <si>
    <t>356.84</t>
  </si>
  <si>
    <t>Tissue</t>
  </si>
  <si>
    <t>23.73</t>
  </si>
  <si>
    <t>Arizona Variety</t>
  </si>
  <si>
    <t>78.82</t>
  </si>
  <si>
    <t>Tampico L/S</t>
  </si>
  <si>
    <t>36.52</t>
  </si>
  <si>
    <t>Hollandia L/S</t>
  </si>
  <si>
    <t>64.26</t>
  </si>
  <si>
    <t>Run Energy</t>
  </si>
  <si>
    <t>39.91</t>
  </si>
  <si>
    <t>Popular Milk</t>
  </si>
  <si>
    <t>158.91</t>
  </si>
  <si>
    <t>Carnation Milk</t>
  </si>
  <si>
    <t>204.27</t>
  </si>
  <si>
    <t>Frytol</t>
  </si>
  <si>
    <t>206.56</t>
  </si>
  <si>
    <t>Shortbread Medium</t>
  </si>
  <si>
    <t>232.14</t>
  </si>
  <si>
    <t>Mentos Gum</t>
  </si>
  <si>
    <t>663.37</t>
  </si>
  <si>
    <t>Mok Washing Powder</t>
  </si>
  <si>
    <t>73.74</t>
  </si>
  <si>
    <t>Cowbell Coffee</t>
  </si>
  <si>
    <t>32</t>
  </si>
  <si>
    <t>114.11</t>
  </si>
  <si>
    <t>This Way</t>
  </si>
  <si>
    <t>38.41</t>
  </si>
  <si>
    <t>Sunlight 400Ml Liquid Soap</t>
  </si>
  <si>
    <t>18.00</t>
  </si>
  <si>
    <t>Jamaa Soap S/S</t>
  </si>
  <si>
    <t>79.38</t>
  </si>
  <si>
    <t>Soap Geisha</t>
  </si>
  <si>
    <t>231.28</t>
  </si>
  <si>
    <t>Medi Soft Soap</t>
  </si>
  <si>
    <t>127.20</t>
  </si>
  <si>
    <t>Royal Leather Soap</t>
  </si>
  <si>
    <t>132.74</t>
  </si>
  <si>
    <t>Athena Soap</t>
  </si>
  <si>
    <t>160.31</t>
  </si>
  <si>
    <t>Imperial Leather Soap</t>
  </si>
  <si>
    <t>225.25</t>
  </si>
  <si>
    <t>Dr X Soap</t>
  </si>
  <si>
    <t>94.14</t>
  </si>
  <si>
    <t>Handkerchief</t>
  </si>
  <si>
    <t>49</t>
  </si>
  <si>
    <t>164.22</t>
  </si>
  <si>
    <t>Kelpaste</t>
  </si>
  <si>
    <t>189.23</t>
  </si>
  <si>
    <t>Toothpaste Pepsodent (Large)</t>
  </si>
  <si>
    <t>312.26</t>
  </si>
  <si>
    <t>Ligther</t>
  </si>
  <si>
    <t>204.75</t>
  </si>
  <si>
    <t>Spray 150</t>
  </si>
  <si>
    <t>Lacost 130</t>
  </si>
  <si>
    <t>Silver Max</t>
  </si>
  <si>
    <t>Dark Fever</t>
  </si>
  <si>
    <t>Spray 70</t>
  </si>
  <si>
    <t>45.00</t>
  </si>
  <si>
    <t>Dc Gold</t>
  </si>
  <si>
    <t>15.00</t>
  </si>
  <si>
    <t>Classic Hair Cream</t>
  </si>
  <si>
    <t>Don Carsia</t>
  </si>
  <si>
    <t>Darling</t>
  </si>
  <si>
    <t>-3</t>
  </si>
  <si>
    <t>-14.71</t>
  </si>
  <si>
    <t>Hunters</t>
  </si>
  <si>
    <t>332.88</t>
  </si>
  <si>
    <t>Vita Top</t>
  </si>
  <si>
    <t>31</t>
  </si>
  <si>
    <t>447.70</t>
  </si>
  <si>
    <t>Aloe Vera</t>
  </si>
  <si>
    <t>Jager 50Cl</t>
  </si>
  <si>
    <t>234.80</t>
  </si>
  <si>
    <t>Kiss Vodka</t>
  </si>
  <si>
    <t>237.06</t>
  </si>
  <si>
    <t>Silver Suede</t>
  </si>
  <si>
    <t>10.00</t>
  </si>
  <si>
    <t>Spray 80</t>
  </si>
  <si>
    <t>Nivea Lotion</t>
  </si>
  <si>
    <t>Aa Battery Energizer 9V</t>
  </si>
  <si>
    <t>Water Small</t>
  </si>
  <si>
    <t>35</t>
  </si>
  <si>
    <t>58.34</t>
  </si>
  <si>
    <t>Voltic M/S</t>
  </si>
  <si>
    <t>143</t>
  </si>
  <si>
    <t>512.61</t>
  </si>
  <si>
    <t>Perfume 250</t>
  </si>
  <si>
    <t>Baileys 20Cl</t>
  </si>
  <si>
    <t>92.42</t>
  </si>
  <si>
    <t>Super Glue</t>
  </si>
  <si>
    <t>19.46</t>
  </si>
  <si>
    <t>Razor Blade</t>
  </si>
  <si>
    <t>146.12</t>
  </si>
  <si>
    <t>Trident Gum</t>
  </si>
  <si>
    <t>45</t>
  </si>
  <si>
    <t>715.08</t>
  </si>
  <si>
    <t>Jacobs Biscuit</t>
  </si>
  <si>
    <t>498.82</t>
  </si>
  <si>
    <t>Nutrisnax Biscuit</t>
  </si>
  <si>
    <t>162.48</t>
  </si>
  <si>
    <t>King Cracker Biscuit</t>
  </si>
  <si>
    <t>58</t>
  </si>
  <si>
    <t>97.67</t>
  </si>
  <si>
    <t>Simple Good Biscuit</t>
  </si>
  <si>
    <t>56.35</t>
  </si>
  <si>
    <t>Castillo Alosno</t>
  </si>
  <si>
    <t>Proud Of You/Shalina</t>
  </si>
  <si>
    <t>347.14</t>
  </si>
  <si>
    <t>Sugar/Majestic/After 12</t>
  </si>
  <si>
    <t>405.00</t>
  </si>
  <si>
    <t>Mousuf</t>
  </si>
  <si>
    <t>Isana Deo Spray</t>
  </si>
  <si>
    <t>381.82</t>
  </si>
  <si>
    <t>Lolita</t>
  </si>
  <si>
    <t>Realce Whisky</t>
  </si>
  <si>
    <t>La Felicidad</t>
  </si>
  <si>
    <t>Gold Whiskey</t>
  </si>
  <si>
    <t>2 Keys Whiskey</t>
  </si>
  <si>
    <t>White Bootz</t>
  </si>
  <si>
    <t>Green Lee</t>
  </si>
  <si>
    <t>Moura Basto</t>
  </si>
  <si>
    <t>Vinado Valls</t>
  </si>
  <si>
    <t>Sibo</t>
  </si>
  <si>
    <t>Flirt Vodka</t>
  </si>
  <si>
    <t>750.00</t>
  </si>
  <si>
    <t>Gordens Gin</t>
  </si>
  <si>
    <t>White Horse</t>
  </si>
  <si>
    <t>Baileys 1L</t>
  </si>
  <si>
    <t>361.05</t>
  </si>
  <si>
    <t>Talisker Wine</t>
  </si>
  <si>
    <t>Kettle 1 Drink</t>
  </si>
  <si>
    <t>Gold Reserve</t>
  </si>
  <si>
    <t>1000.00</t>
  </si>
  <si>
    <t>Smirnoff 20Cl</t>
  </si>
  <si>
    <t>Smirnoff Chocolate</t>
  </si>
  <si>
    <t>Brown Sugar S/S</t>
  </si>
  <si>
    <t>156.10</t>
  </si>
  <si>
    <t>Tombrown</t>
  </si>
  <si>
    <t>12.00</t>
  </si>
  <si>
    <t>Lipton</t>
  </si>
  <si>
    <t>22.00</t>
  </si>
  <si>
    <t>Sasso Spray</t>
  </si>
  <si>
    <t>228.86</t>
  </si>
  <si>
    <t>Far Spray</t>
  </si>
  <si>
    <t>152.00</t>
  </si>
  <si>
    <t>Nivea Roll On</t>
  </si>
  <si>
    <t>169.75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</si>
</sst>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rgb="FF000000"/>
      <name val="Aptos Narrow"/>
      <family val="2"/>
    </font>
    <font>
      <b/>
      <sz val="11"/>
      <color rgb="FF3F3F3F"/>
      <name val="Aptos Narrow"/>
      <family val="2"/>
    </font>
    <font>
      <b/>
      <sz val="11"/>
      <color rgb="FF156082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49EDD"/>
        <bgColor rgb="FFE49EDD"/>
      </patternFill>
    </fill>
    <fill>
      <patternFill patternType="solid">
        <fgColor rgb="FF94DCF8"/>
        <bgColor rgb="FF94DCF8"/>
      </patternFill>
    </fill>
    <fill>
      <patternFill patternType="solid">
        <fgColor rgb="FF000000"/>
        <bgColor rgb="FF000000"/>
      </patternFill>
    </fill>
    <fill>
      <patternFill patternType="solid">
        <fgColor rgb="FF4D93D9"/>
        <bgColor rgb="FF4D93D9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0E2841"/>
        <bgColor rgb="FF0E2841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2" fillId="3" borderId="1" xfId="1" applyFont="1" applyFill="1"/>
    <xf numFmtId="0" fontId="2" fillId="4" borderId="1" xfId="1" applyFont="1" applyFill="1"/>
    <xf numFmtId="0" fontId="2" fillId="5" borderId="1" xfId="1" applyFont="1" applyFill="1"/>
    <xf numFmtId="0" fontId="2" fillId="6" borderId="1" xfId="1" applyFont="1" applyFill="1" applyAlignment="1">
      <alignment horizontal="center"/>
    </xf>
    <xf numFmtId="0" fontId="2" fillId="7" borderId="1" xfId="1" applyFont="1" applyFill="1" applyAlignment="1">
      <alignment horizontal="center"/>
    </xf>
    <xf numFmtId="0" fontId="2" fillId="8" borderId="1" xfId="1" applyFont="1" applyFill="1" applyAlignment="1">
      <alignment horizontal="center"/>
    </xf>
    <xf numFmtId="0" fontId="2" fillId="9" borderId="1" xfId="1" applyFont="1" applyFill="1" applyAlignment="1">
      <alignment horizontal="center"/>
    </xf>
    <xf numFmtId="0" fontId="2" fillId="10" borderId="1" xfId="1" applyFont="1" applyFill="1" applyAlignment="1">
      <alignment horizontal="left"/>
    </xf>
    <xf numFmtId="0" fontId="1" fillId="2" borderId="1" xfId="1"/>
    <xf numFmtId="0" fontId="1" fillId="2" borderId="1" xfId="1" applyAlignment="1">
      <alignment horizontal="center"/>
    </xf>
    <xf numFmtId="164" fontId="1" fillId="2" borderId="1" xfId="1" applyNumberFormat="1" applyAlignment="1">
      <alignment horizontal="center"/>
    </xf>
    <xf numFmtId="1" fontId="1" fillId="2" borderId="1" xfId="1" applyNumberFormat="1" applyAlignment="1">
      <alignment horizontal="center"/>
    </xf>
    <xf numFmtId="2" fontId="1" fillId="2" borderId="1" xfId="1" applyNumberFormat="1" applyAlignment="1">
      <alignment horizontal="center"/>
    </xf>
    <xf numFmtId="0" fontId="1" fillId="2" borderId="1" xfId="1" applyAlignment="1">
      <alignment horizontal="left"/>
    </xf>
    <xf numFmtId="15" fontId="1" fillId="2" borderId="1" xfId="1" applyNumberFormat="1" applyAlignment="1">
      <alignment horizontal="left"/>
    </xf>
  </cellXfs>
  <cellStyles count="2">
    <cellStyle name="Normal" xfId="0" builtinId="0" customBuiltin="1"/>
    <cellStyle name="Output" xfId="1" builtinId="2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F29D9-D678-49E4-B035-BB8A8DD57241}">
  <dimension ref="A1:H459"/>
  <sheetViews>
    <sheetView tabSelected="1" topLeftCell="A217" zoomScale="140" zoomScaleNormal="140" workbookViewId="0">
      <selection activeCell="A220" sqref="A220:XFD220"/>
    </sheetView>
  </sheetViews>
  <sheetFormatPr defaultRowHeight="14.5" x14ac:dyDescent="0.35"/>
  <cols>
    <col min="1" max="1" width="20.7265625" style="9" customWidth="1"/>
    <col min="2" max="2" width="10" style="9" customWidth="1"/>
    <col min="3" max="3" width="5" style="9" customWidth="1"/>
    <col min="4" max="4" width="12.36328125" style="10" bestFit="1" customWidth="1"/>
    <col min="5" max="5" width="9" style="10" bestFit="1" customWidth="1"/>
    <col min="6" max="6" width="11.1796875" style="10" bestFit="1" customWidth="1"/>
    <col min="7" max="7" width="13" style="10" customWidth="1"/>
    <col min="8" max="8" width="10.453125" style="14" bestFit="1" customWidth="1"/>
    <col min="9" max="9" width="8.7265625" style="9" customWidth="1"/>
    <col min="10" max="16384" width="8.7265625" style="9"/>
  </cols>
  <sheetData>
    <row r="1" spans="1:8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spans="1:8" x14ac:dyDescent="0.35">
      <c r="A2" s="9" t="s">
        <v>8</v>
      </c>
      <c r="D2" s="10">
        <v>18</v>
      </c>
      <c r="E2" s="11">
        <v>3.8</v>
      </c>
      <c r="F2" s="12">
        <f t="shared" ref="F2:F12" si="0">35.5/100*E2+E2</f>
        <v>5.149</v>
      </c>
      <c r="G2" s="13">
        <v>68</v>
      </c>
    </row>
    <row r="3" spans="1:8" x14ac:dyDescent="0.35">
      <c r="A3" s="9" t="s">
        <v>9</v>
      </c>
      <c r="D3" s="10" t="s">
        <v>10</v>
      </c>
      <c r="E3" s="11">
        <f t="shared" ref="E3:E66" si="1">G3/D3</f>
        <v>34.42</v>
      </c>
      <c r="F3" s="12">
        <f t="shared" si="0"/>
        <v>46.639099999999999</v>
      </c>
      <c r="G3" s="13" t="s">
        <v>11</v>
      </c>
    </row>
    <row r="4" spans="1:8" x14ac:dyDescent="0.35">
      <c r="A4" s="9" t="s">
        <v>12</v>
      </c>
      <c r="D4" s="10" t="s">
        <v>13</v>
      </c>
      <c r="E4" s="11">
        <f t="shared" si="1"/>
        <v>20</v>
      </c>
      <c r="F4" s="12">
        <f t="shared" si="0"/>
        <v>27.1</v>
      </c>
      <c r="G4" s="13" t="s">
        <v>14</v>
      </c>
    </row>
    <row r="5" spans="1:8" x14ac:dyDescent="0.35">
      <c r="A5" s="9" t="s">
        <v>15</v>
      </c>
      <c r="B5" s="9" t="s">
        <v>16</v>
      </c>
      <c r="D5" s="10" t="s">
        <v>17</v>
      </c>
      <c r="E5" s="11">
        <f t="shared" si="1"/>
        <v>1.5</v>
      </c>
      <c r="F5" s="12">
        <f t="shared" si="0"/>
        <v>2.0324999999999998</v>
      </c>
      <c r="G5" s="13" t="s">
        <v>18</v>
      </c>
      <c r="H5" s="15">
        <v>46387</v>
      </c>
    </row>
    <row r="6" spans="1:8" x14ac:dyDescent="0.35">
      <c r="A6" s="9" t="s">
        <v>19</v>
      </c>
      <c r="B6" s="9" t="s">
        <v>16</v>
      </c>
      <c r="D6" s="10" t="s">
        <v>20</v>
      </c>
      <c r="E6" s="11">
        <f t="shared" si="1"/>
        <v>1.8900000000000001</v>
      </c>
      <c r="F6" s="12">
        <f t="shared" si="0"/>
        <v>2.5609500000000001</v>
      </c>
      <c r="G6" s="13" t="s">
        <v>21</v>
      </c>
      <c r="H6" s="15">
        <v>46371</v>
      </c>
    </row>
    <row r="7" spans="1:8" x14ac:dyDescent="0.35">
      <c r="A7" s="9" t="s">
        <v>22</v>
      </c>
      <c r="B7" s="9" t="s">
        <v>23</v>
      </c>
      <c r="D7" s="10" t="s">
        <v>24</v>
      </c>
      <c r="E7" s="11">
        <f t="shared" si="1"/>
        <v>39.17</v>
      </c>
      <c r="F7" s="12">
        <f t="shared" si="0"/>
        <v>53.07535</v>
      </c>
      <c r="G7" s="13" t="s">
        <v>25</v>
      </c>
      <c r="H7" s="15">
        <v>46527</v>
      </c>
    </row>
    <row r="8" spans="1:8" x14ac:dyDescent="0.35">
      <c r="A8" s="9" t="s">
        <v>26</v>
      </c>
      <c r="D8" s="10" t="s">
        <v>27</v>
      </c>
      <c r="E8" s="11">
        <f t="shared" si="1"/>
        <v>15.84</v>
      </c>
      <c r="F8" s="12">
        <f t="shared" si="0"/>
        <v>21.463200000000001</v>
      </c>
      <c r="G8" s="13" t="s">
        <v>28</v>
      </c>
    </row>
    <row r="9" spans="1:8" x14ac:dyDescent="0.35">
      <c r="A9" s="9" t="s">
        <v>29</v>
      </c>
      <c r="D9" s="10" t="s">
        <v>30</v>
      </c>
      <c r="E9" s="11">
        <f t="shared" si="1"/>
        <v>8.0525000000000002</v>
      </c>
      <c r="F9" s="12">
        <f t="shared" si="0"/>
        <v>10.911137500000001</v>
      </c>
      <c r="G9" s="13" t="s">
        <v>31</v>
      </c>
    </row>
    <row r="10" spans="1:8" x14ac:dyDescent="0.35">
      <c r="A10" s="9" t="s">
        <v>32</v>
      </c>
      <c r="D10" s="10" t="s">
        <v>33</v>
      </c>
      <c r="E10" s="11">
        <f t="shared" si="1"/>
        <v>5.34</v>
      </c>
      <c r="F10" s="12">
        <f t="shared" si="0"/>
        <v>7.2356999999999996</v>
      </c>
      <c r="G10" s="13" t="s">
        <v>34</v>
      </c>
    </row>
    <row r="11" spans="1:8" x14ac:dyDescent="0.35">
      <c r="A11" s="9" t="s">
        <v>35</v>
      </c>
      <c r="D11" s="10" t="s">
        <v>36</v>
      </c>
      <c r="E11" s="11">
        <f t="shared" si="1"/>
        <v>16.670000000000002</v>
      </c>
      <c r="F11" s="12">
        <f t="shared" si="0"/>
        <v>22.587850000000003</v>
      </c>
      <c r="G11" s="13" t="s">
        <v>37</v>
      </c>
    </row>
    <row r="12" spans="1:8" x14ac:dyDescent="0.35">
      <c r="A12" s="9" t="s">
        <v>38</v>
      </c>
      <c r="D12" s="10" t="s">
        <v>39</v>
      </c>
      <c r="E12" s="11">
        <f t="shared" si="1"/>
        <v>3.91</v>
      </c>
      <c r="F12" s="12">
        <f t="shared" si="0"/>
        <v>5.2980499999999999</v>
      </c>
      <c r="G12" s="13" t="s">
        <v>40</v>
      </c>
    </row>
    <row r="13" spans="1:8" x14ac:dyDescent="0.35">
      <c r="A13" s="9" t="s">
        <v>41</v>
      </c>
      <c r="B13" s="9" t="s">
        <v>42</v>
      </c>
      <c r="D13" s="10" t="s">
        <v>43</v>
      </c>
      <c r="E13" s="11">
        <f t="shared" si="1"/>
        <v>0.28000000000000003</v>
      </c>
      <c r="F13" s="12">
        <v>0.5</v>
      </c>
      <c r="G13" s="13" t="s">
        <v>44</v>
      </c>
      <c r="H13" s="15">
        <v>46371</v>
      </c>
    </row>
    <row r="14" spans="1:8" x14ac:dyDescent="0.35">
      <c r="A14" s="9" t="s">
        <v>45</v>
      </c>
      <c r="D14" s="10" t="s">
        <v>24</v>
      </c>
      <c r="E14" s="11">
        <f t="shared" si="1"/>
        <v>4.7300000000000004</v>
      </c>
      <c r="F14" s="12">
        <f t="shared" ref="F14:F77" si="2">35.5/100*E14+E14</f>
        <v>6.4091500000000003</v>
      </c>
      <c r="G14" s="13" t="s">
        <v>46</v>
      </c>
    </row>
    <row r="15" spans="1:8" x14ac:dyDescent="0.35">
      <c r="A15" s="9" t="s">
        <v>47</v>
      </c>
      <c r="D15" s="10" t="s">
        <v>27</v>
      </c>
      <c r="E15" s="11">
        <f t="shared" si="1"/>
        <v>7.63</v>
      </c>
      <c r="F15" s="12">
        <f t="shared" si="2"/>
        <v>10.338649999999999</v>
      </c>
      <c r="G15" s="13" t="s">
        <v>48</v>
      </c>
    </row>
    <row r="16" spans="1:8" x14ac:dyDescent="0.35">
      <c r="A16" s="9" t="s">
        <v>49</v>
      </c>
      <c r="B16" s="9" t="s">
        <v>50</v>
      </c>
      <c r="D16" s="10" t="s">
        <v>51</v>
      </c>
      <c r="E16" s="11">
        <f t="shared" si="1"/>
        <v>7.9</v>
      </c>
      <c r="F16" s="12">
        <f t="shared" si="2"/>
        <v>10.704499999999999</v>
      </c>
      <c r="G16" s="13" t="s">
        <v>52</v>
      </c>
      <c r="H16" s="15">
        <v>46203</v>
      </c>
    </row>
    <row r="17" spans="1:7" x14ac:dyDescent="0.35">
      <c r="A17" s="9" t="s">
        <v>53</v>
      </c>
      <c r="D17" s="10" t="s">
        <v>54</v>
      </c>
      <c r="E17" s="11">
        <f t="shared" si="1"/>
        <v>5.5575000000000001</v>
      </c>
      <c r="F17" s="12">
        <f t="shared" si="2"/>
        <v>7.5304124999999997</v>
      </c>
      <c r="G17" s="13" t="s">
        <v>55</v>
      </c>
    </row>
    <row r="18" spans="1:7" x14ac:dyDescent="0.35">
      <c r="A18" s="9" t="s">
        <v>56</v>
      </c>
      <c r="D18" s="10" t="s">
        <v>57</v>
      </c>
      <c r="E18" s="11">
        <f t="shared" si="1"/>
        <v>3.84</v>
      </c>
      <c r="F18" s="12">
        <f t="shared" si="2"/>
        <v>5.2031999999999998</v>
      </c>
      <c r="G18" s="13" t="s">
        <v>58</v>
      </c>
    </row>
    <row r="19" spans="1:7" x14ac:dyDescent="0.35">
      <c r="A19" s="9" t="s">
        <v>59</v>
      </c>
      <c r="D19" s="10" t="s">
        <v>60</v>
      </c>
      <c r="E19" s="11">
        <f t="shared" si="1"/>
        <v>10.6485</v>
      </c>
      <c r="F19" s="12">
        <f t="shared" si="2"/>
        <v>14.428717500000001</v>
      </c>
      <c r="G19" s="13" t="s">
        <v>61</v>
      </c>
    </row>
    <row r="20" spans="1:7" x14ac:dyDescent="0.35">
      <c r="A20" s="9" t="s">
        <v>62</v>
      </c>
      <c r="D20" s="10" t="s">
        <v>27</v>
      </c>
      <c r="E20" s="11">
        <f t="shared" si="1"/>
        <v>27.2</v>
      </c>
      <c r="F20" s="12">
        <f t="shared" si="2"/>
        <v>36.855999999999995</v>
      </c>
      <c r="G20" s="13" t="s">
        <v>63</v>
      </c>
    </row>
    <row r="21" spans="1:7" x14ac:dyDescent="0.35">
      <c r="A21" s="9" t="s">
        <v>64</v>
      </c>
      <c r="D21" s="10" t="s">
        <v>51</v>
      </c>
      <c r="E21" s="11">
        <f t="shared" si="1"/>
        <v>34.33</v>
      </c>
      <c r="F21" s="12">
        <f t="shared" si="2"/>
        <v>46.517150000000001</v>
      </c>
      <c r="G21" s="13" t="s">
        <v>65</v>
      </c>
    </row>
    <row r="22" spans="1:7" x14ac:dyDescent="0.35">
      <c r="A22" s="9" t="s">
        <v>66</v>
      </c>
      <c r="D22" s="10" t="s">
        <v>51</v>
      </c>
      <c r="E22" s="11">
        <f t="shared" si="1"/>
        <v>38.340000000000003</v>
      </c>
      <c r="F22" s="12">
        <f t="shared" si="2"/>
        <v>51.950700000000005</v>
      </c>
      <c r="G22" s="13" t="s">
        <v>67</v>
      </c>
    </row>
    <row r="23" spans="1:7" x14ac:dyDescent="0.35">
      <c r="A23" s="9" t="s">
        <v>68</v>
      </c>
      <c r="D23" s="10" t="s">
        <v>69</v>
      </c>
      <c r="E23" s="11">
        <f t="shared" si="1"/>
        <v>3.84</v>
      </c>
      <c r="F23" s="12">
        <f t="shared" si="2"/>
        <v>5.2031999999999998</v>
      </c>
      <c r="G23" s="13" t="s">
        <v>70</v>
      </c>
    </row>
    <row r="24" spans="1:7" x14ac:dyDescent="0.35">
      <c r="A24" s="9" t="s">
        <v>71</v>
      </c>
      <c r="D24" s="10" t="s">
        <v>72</v>
      </c>
      <c r="E24" s="11">
        <f t="shared" si="1"/>
        <v>7.1000000000000005</v>
      </c>
      <c r="F24" s="12">
        <f t="shared" si="2"/>
        <v>9.6204999999999998</v>
      </c>
      <c r="G24" s="13" t="s">
        <v>73</v>
      </c>
    </row>
    <row r="25" spans="1:7" x14ac:dyDescent="0.35">
      <c r="A25" s="9" t="s">
        <v>74</v>
      </c>
      <c r="D25" s="10" t="s">
        <v>75</v>
      </c>
      <c r="E25" s="11">
        <f t="shared" si="1"/>
        <v>13.34</v>
      </c>
      <c r="F25" s="12">
        <f t="shared" si="2"/>
        <v>18.075699999999998</v>
      </c>
      <c r="G25" s="13" t="s">
        <v>76</v>
      </c>
    </row>
    <row r="26" spans="1:7" x14ac:dyDescent="0.35">
      <c r="A26" s="9" t="s">
        <v>77</v>
      </c>
      <c r="D26" s="10" t="s">
        <v>24</v>
      </c>
      <c r="E26" s="11">
        <f t="shared" si="1"/>
        <v>100</v>
      </c>
      <c r="F26" s="12">
        <f t="shared" si="2"/>
        <v>135.5</v>
      </c>
      <c r="G26" s="13" t="s">
        <v>78</v>
      </c>
    </row>
    <row r="27" spans="1:7" x14ac:dyDescent="0.35">
      <c r="A27" s="9" t="s">
        <v>79</v>
      </c>
      <c r="D27" s="10" t="s">
        <v>80</v>
      </c>
      <c r="E27" s="11">
        <f t="shared" si="1"/>
        <v>3.5410810810810815</v>
      </c>
      <c r="F27" s="12">
        <f t="shared" si="2"/>
        <v>4.7981648648648658</v>
      </c>
      <c r="G27" s="13" t="s">
        <v>81</v>
      </c>
    </row>
    <row r="28" spans="1:7" x14ac:dyDescent="0.35">
      <c r="A28" s="9" t="s">
        <v>82</v>
      </c>
      <c r="D28" s="10" t="s">
        <v>24</v>
      </c>
      <c r="E28" s="11">
        <f t="shared" si="1"/>
        <v>29.824999999999999</v>
      </c>
      <c r="F28" s="12">
        <f t="shared" si="2"/>
        <v>40.412875</v>
      </c>
      <c r="G28" s="13" t="s">
        <v>83</v>
      </c>
    </row>
    <row r="29" spans="1:7" x14ac:dyDescent="0.35">
      <c r="A29" s="9" t="s">
        <v>84</v>
      </c>
      <c r="D29" s="10" t="s">
        <v>51</v>
      </c>
      <c r="E29" s="11">
        <f t="shared" si="1"/>
        <v>110</v>
      </c>
      <c r="F29" s="12">
        <f t="shared" si="2"/>
        <v>149.05000000000001</v>
      </c>
      <c r="G29" s="13" t="s">
        <v>85</v>
      </c>
    </row>
    <row r="30" spans="1:7" x14ac:dyDescent="0.35">
      <c r="A30" s="9" t="s">
        <v>86</v>
      </c>
      <c r="D30" s="10" t="s">
        <v>27</v>
      </c>
      <c r="E30" s="11">
        <f t="shared" si="1"/>
        <v>220</v>
      </c>
      <c r="F30" s="12">
        <f t="shared" si="2"/>
        <v>298.10000000000002</v>
      </c>
      <c r="G30" s="13" t="s">
        <v>87</v>
      </c>
    </row>
    <row r="31" spans="1:7" x14ac:dyDescent="0.35">
      <c r="A31" s="9" t="s">
        <v>88</v>
      </c>
      <c r="D31" s="10" t="s">
        <v>51</v>
      </c>
      <c r="E31" s="11">
        <f t="shared" si="1"/>
        <v>250</v>
      </c>
      <c r="F31" s="12">
        <f t="shared" si="2"/>
        <v>338.75</v>
      </c>
      <c r="G31" s="13" t="s">
        <v>89</v>
      </c>
    </row>
    <row r="32" spans="1:7" x14ac:dyDescent="0.35">
      <c r="A32" s="9" t="s">
        <v>90</v>
      </c>
      <c r="D32" s="10" t="s">
        <v>91</v>
      </c>
      <c r="E32" s="11">
        <f t="shared" si="1"/>
        <v>2.0980172413793103</v>
      </c>
      <c r="F32" s="12">
        <f t="shared" si="2"/>
        <v>2.8428133620689655</v>
      </c>
      <c r="G32" s="13" t="s">
        <v>92</v>
      </c>
    </row>
    <row r="33" spans="1:7" x14ac:dyDescent="0.35">
      <c r="A33" s="9" t="s">
        <v>93</v>
      </c>
      <c r="D33" s="10" t="s">
        <v>94</v>
      </c>
      <c r="E33" s="11">
        <f t="shared" si="1"/>
        <v>16.798510638297873</v>
      </c>
      <c r="F33" s="12">
        <f t="shared" si="2"/>
        <v>22.761981914893617</v>
      </c>
      <c r="G33" s="13" t="s">
        <v>95</v>
      </c>
    </row>
    <row r="34" spans="1:7" x14ac:dyDescent="0.35">
      <c r="A34" s="9" t="s">
        <v>96</v>
      </c>
      <c r="D34" s="10" t="s">
        <v>97</v>
      </c>
      <c r="E34" s="11">
        <f t="shared" si="1"/>
        <v>3.2169444444444446</v>
      </c>
      <c r="F34" s="12">
        <f t="shared" si="2"/>
        <v>4.3589597222222221</v>
      </c>
      <c r="G34" s="13" t="s">
        <v>98</v>
      </c>
    </row>
    <row r="35" spans="1:7" x14ac:dyDescent="0.35">
      <c r="A35" s="9" t="s">
        <v>99</v>
      </c>
      <c r="D35" s="10" t="s">
        <v>100</v>
      </c>
      <c r="E35" s="11">
        <f t="shared" si="1"/>
        <v>4.5786363636363641</v>
      </c>
      <c r="F35" s="12">
        <f t="shared" si="2"/>
        <v>6.2040522727272727</v>
      </c>
      <c r="G35" s="13" t="s">
        <v>101</v>
      </c>
    </row>
    <row r="36" spans="1:7" x14ac:dyDescent="0.35">
      <c r="A36" s="9" t="s">
        <v>102</v>
      </c>
      <c r="D36" s="10" t="s">
        <v>103</v>
      </c>
      <c r="E36" s="11">
        <f t="shared" si="1"/>
        <v>1.7869148936170212</v>
      </c>
      <c r="F36" s="12">
        <f t="shared" si="2"/>
        <v>2.4212696808510636</v>
      </c>
      <c r="G36" s="13" t="s">
        <v>104</v>
      </c>
    </row>
    <row r="37" spans="1:7" x14ac:dyDescent="0.35">
      <c r="A37" s="9" t="s">
        <v>105</v>
      </c>
      <c r="D37" s="10" t="s">
        <v>106</v>
      </c>
      <c r="E37" s="11">
        <f t="shared" si="1"/>
        <v>5</v>
      </c>
      <c r="F37" s="12">
        <f t="shared" si="2"/>
        <v>6.7750000000000004</v>
      </c>
      <c r="G37" s="13" t="s">
        <v>107</v>
      </c>
    </row>
    <row r="38" spans="1:7" x14ac:dyDescent="0.35">
      <c r="A38" s="9" t="s">
        <v>108</v>
      </c>
      <c r="D38" s="10" t="s">
        <v>109</v>
      </c>
      <c r="E38" s="11">
        <f t="shared" si="1"/>
        <v>12.1</v>
      </c>
      <c r="F38" s="12">
        <f t="shared" si="2"/>
        <v>16.395499999999998</v>
      </c>
      <c r="G38" s="13" t="s">
        <v>110</v>
      </c>
    </row>
    <row r="39" spans="1:7" x14ac:dyDescent="0.35">
      <c r="A39" s="9" t="s">
        <v>111</v>
      </c>
      <c r="D39" s="10" t="s">
        <v>112</v>
      </c>
      <c r="E39" s="11">
        <f t="shared" si="1"/>
        <v>9.5865217391304345</v>
      </c>
      <c r="F39" s="12">
        <f t="shared" si="2"/>
        <v>12.989736956521739</v>
      </c>
      <c r="G39" s="13" t="s">
        <v>113</v>
      </c>
    </row>
    <row r="40" spans="1:7" x14ac:dyDescent="0.35">
      <c r="A40" s="9" t="s">
        <v>114</v>
      </c>
      <c r="D40" s="10" t="s">
        <v>115</v>
      </c>
      <c r="E40" s="11">
        <f t="shared" si="1"/>
        <v>18</v>
      </c>
      <c r="F40" s="12">
        <f t="shared" si="2"/>
        <v>24.39</v>
      </c>
      <c r="G40" s="13" t="s">
        <v>116</v>
      </c>
    </row>
    <row r="41" spans="1:7" x14ac:dyDescent="0.35">
      <c r="A41" s="9" t="s">
        <v>117</v>
      </c>
      <c r="D41" s="10" t="s">
        <v>118</v>
      </c>
      <c r="E41" s="11">
        <f t="shared" si="1"/>
        <v>16</v>
      </c>
      <c r="F41" s="12">
        <f t="shared" si="2"/>
        <v>21.68</v>
      </c>
      <c r="G41" s="13" t="s">
        <v>119</v>
      </c>
    </row>
    <row r="42" spans="1:7" x14ac:dyDescent="0.35">
      <c r="A42" s="9" t="s">
        <v>120</v>
      </c>
      <c r="D42" s="10" t="s">
        <v>121</v>
      </c>
      <c r="E42" s="11">
        <f t="shared" si="1"/>
        <v>12.92</v>
      </c>
      <c r="F42" s="12">
        <f t="shared" si="2"/>
        <v>17.506599999999999</v>
      </c>
      <c r="G42" s="13" t="s">
        <v>122</v>
      </c>
    </row>
    <row r="43" spans="1:7" x14ac:dyDescent="0.35">
      <c r="A43" s="9" t="s">
        <v>123</v>
      </c>
      <c r="D43" s="10" t="s">
        <v>124</v>
      </c>
      <c r="E43" s="11">
        <f t="shared" si="1"/>
        <v>22.1</v>
      </c>
      <c r="F43" s="12">
        <f t="shared" si="2"/>
        <v>29.945500000000003</v>
      </c>
      <c r="G43" s="13" t="s">
        <v>125</v>
      </c>
    </row>
    <row r="44" spans="1:7" x14ac:dyDescent="0.35">
      <c r="A44" s="9" t="s">
        <v>126</v>
      </c>
      <c r="D44" s="10" t="s">
        <v>60</v>
      </c>
      <c r="E44" s="11">
        <f t="shared" si="1"/>
        <v>6.2149999999999999</v>
      </c>
      <c r="F44" s="12">
        <f t="shared" si="2"/>
        <v>8.4213249999999995</v>
      </c>
      <c r="G44" s="13" t="s">
        <v>127</v>
      </c>
    </row>
    <row r="45" spans="1:7" x14ac:dyDescent="0.35">
      <c r="A45" s="9" t="s">
        <v>128</v>
      </c>
      <c r="D45" s="10" t="s">
        <v>91</v>
      </c>
      <c r="E45" s="11">
        <f t="shared" si="1"/>
        <v>2.2399999999999998</v>
      </c>
      <c r="F45" s="12">
        <f t="shared" si="2"/>
        <v>3.0351999999999997</v>
      </c>
      <c r="G45" s="13" t="s">
        <v>129</v>
      </c>
    </row>
    <row r="46" spans="1:7" x14ac:dyDescent="0.35">
      <c r="A46" s="9" t="s">
        <v>130</v>
      </c>
      <c r="D46" s="10" t="s">
        <v>131</v>
      </c>
      <c r="E46" s="11">
        <f t="shared" si="1"/>
        <v>4.6788679245283014</v>
      </c>
      <c r="F46" s="12">
        <f t="shared" si="2"/>
        <v>6.339866037735848</v>
      </c>
      <c r="G46" s="13" t="s">
        <v>132</v>
      </c>
    </row>
    <row r="47" spans="1:7" x14ac:dyDescent="0.35">
      <c r="A47" s="9" t="s">
        <v>133</v>
      </c>
      <c r="D47" s="10" t="s">
        <v>134</v>
      </c>
      <c r="E47" s="11">
        <f t="shared" si="1"/>
        <v>1.75</v>
      </c>
      <c r="F47" s="12">
        <f t="shared" si="2"/>
        <v>2.3712499999999999</v>
      </c>
      <c r="G47" s="13" t="s">
        <v>135</v>
      </c>
    </row>
    <row r="48" spans="1:7" x14ac:dyDescent="0.35">
      <c r="A48" s="9" t="s">
        <v>136</v>
      </c>
      <c r="D48" s="10" t="s">
        <v>51</v>
      </c>
      <c r="E48" s="11">
        <f t="shared" si="1"/>
        <v>130</v>
      </c>
      <c r="F48" s="12">
        <f t="shared" si="2"/>
        <v>176.15</v>
      </c>
      <c r="G48" s="13" t="s">
        <v>137</v>
      </c>
    </row>
    <row r="49" spans="1:7" x14ac:dyDescent="0.35">
      <c r="A49" s="9" t="s">
        <v>138</v>
      </c>
      <c r="D49" s="10" t="s">
        <v>139</v>
      </c>
      <c r="E49" s="11">
        <f t="shared" si="1"/>
        <v>55.713999999999999</v>
      </c>
      <c r="F49" s="12">
        <f t="shared" si="2"/>
        <v>75.492469999999997</v>
      </c>
      <c r="G49" s="13" t="s">
        <v>140</v>
      </c>
    </row>
    <row r="50" spans="1:7" x14ac:dyDescent="0.35">
      <c r="A50" s="9" t="s">
        <v>141</v>
      </c>
      <c r="D50" s="10" t="s">
        <v>51</v>
      </c>
      <c r="E50" s="11">
        <f t="shared" si="1"/>
        <v>270</v>
      </c>
      <c r="F50" s="12">
        <f t="shared" si="2"/>
        <v>365.85</v>
      </c>
      <c r="G50" s="13" t="s">
        <v>142</v>
      </c>
    </row>
    <row r="51" spans="1:7" x14ac:dyDescent="0.35">
      <c r="A51" s="9" t="s">
        <v>143</v>
      </c>
      <c r="D51" s="10" t="s">
        <v>13</v>
      </c>
      <c r="E51" s="11">
        <f t="shared" si="1"/>
        <v>135.833125</v>
      </c>
      <c r="F51" s="12">
        <f t="shared" si="2"/>
        <v>184.053884375</v>
      </c>
      <c r="G51" s="13" t="s">
        <v>144</v>
      </c>
    </row>
    <row r="52" spans="1:7" x14ac:dyDescent="0.35">
      <c r="A52" s="9" t="s">
        <v>145</v>
      </c>
      <c r="D52" s="10" t="s">
        <v>24</v>
      </c>
      <c r="E52" s="11">
        <f t="shared" si="1"/>
        <v>300</v>
      </c>
      <c r="F52" s="12">
        <f t="shared" si="2"/>
        <v>406.5</v>
      </c>
      <c r="G52" s="13" t="s">
        <v>146</v>
      </c>
    </row>
    <row r="53" spans="1:7" x14ac:dyDescent="0.35">
      <c r="A53" s="9" t="s">
        <v>147</v>
      </c>
      <c r="D53" s="10" t="s">
        <v>24</v>
      </c>
      <c r="E53" s="11">
        <f t="shared" si="1"/>
        <v>168</v>
      </c>
      <c r="F53" s="12">
        <f t="shared" si="2"/>
        <v>227.64</v>
      </c>
      <c r="G53" s="13" t="s">
        <v>148</v>
      </c>
    </row>
    <row r="54" spans="1:7" x14ac:dyDescent="0.35">
      <c r="A54" s="9" t="s">
        <v>149</v>
      </c>
      <c r="D54" s="10" t="s">
        <v>60</v>
      </c>
      <c r="E54" s="11">
        <f t="shared" si="1"/>
        <v>82.708500000000001</v>
      </c>
      <c r="F54" s="12">
        <f t="shared" si="2"/>
        <v>112.07001750000001</v>
      </c>
      <c r="G54" s="13" t="s">
        <v>150</v>
      </c>
    </row>
    <row r="55" spans="1:7" x14ac:dyDescent="0.35">
      <c r="A55" s="9" t="s">
        <v>151</v>
      </c>
      <c r="D55" s="10" t="s">
        <v>24</v>
      </c>
      <c r="E55" s="11">
        <f t="shared" si="1"/>
        <v>280</v>
      </c>
      <c r="F55" s="12">
        <f t="shared" si="2"/>
        <v>379.4</v>
      </c>
      <c r="G55" s="13" t="s">
        <v>152</v>
      </c>
    </row>
    <row r="56" spans="1:7" x14ac:dyDescent="0.35">
      <c r="A56" s="9" t="s">
        <v>153</v>
      </c>
      <c r="D56" s="10" t="s">
        <v>154</v>
      </c>
      <c r="E56" s="11">
        <f t="shared" si="1"/>
        <v>190</v>
      </c>
      <c r="F56" s="12">
        <f t="shared" si="2"/>
        <v>257.45</v>
      </c>
      <c r="G56" s="13" t="s">
        <v>155</v>
      </c>
    </row>
    <row r="57" spans="1:7" x14ac:dyDescent="0.35">
      <c r="A57" s="9" t="s">
        <v>156</v>
      </c>
      <c r="D57" s="10" t="s">
        <v>51</v>
      </c>
      <c r="E57" s="11">
        <f t="shared" si="1"/>
        <v>70</v>
      </c>
      <c r="F57" s="12">
        <f t="shared" si="2"/>
        <v>94.85</v>
      </c>
      <c r="G57" s="13" t="s">
        <v>157</v>
      </c>
    </row>
    <row r="58" spans="1:7" x14ac:dyDescent="0.35">
      <c r="A58" s="9" t="s">
        <v>158</v>
      </c>
      <c r="D58" s="10" t="s">
        <v>134</v>
      </c>
      <c r="E58" s="11">
        <f t="shared" si="1"/>
        <v>25.52</v>
      </c>
      <c r="F58" s="12">
        <f t="shared" si="2"/>
        <v>34.579599999999999</v>
      </c>
      <c r="G58" s="13" t="s">
        <v>159</v>
      </c>
    </row>
    <row r="59" spans="1:7" x14ac:dyDescent="0.35">
      <c r="A59" s="9" t="s">
        <v>160</v>
      </c>
      <c r="D59" s="10" t="s">
        <v>51</v>
      </c>
      <c r="E59" s="11">
        <f t="shared" si="1"/>
        <v>85</v>
      </c>
      <c r="F59" s="12">
        <f t="shared" si="2"/>
        <v>115.175</v>
      </c>
      <c r="G59" s="13" t="s">
        <v>161</v>
      </c>
    </row>
    <row r="60" spans="1:7" x14ac:dyDescent="0.35">
      <c r="A60" s="9" t="s">
        <v>162</v>
      </c>
      <c r="D60" s="10" t="s">
        <v>27</v>
      </c>
      <c r="E60" s="11">
        <f t="shared" si="1"/>
        <v>45.832500000000003</v>
      </c>
      <c r="F60" s="12">
        <f t="shared" si="2"/>
        <v>62.103037499999999</v>
      </c>
      <c r="G60" s="13" t="s">
        <v>163</v>
      </c>
    </row>
    <row r="61" spans="1:7" x14ac:dyDescent="0.35">
      <c r="A61" s="9" t="s">
        <v>164</v>
      </c>
      <c r="D61" s="10" t="s">
        <v>106</v>
      </c>
      <c r="E61" s="11">
        <f t="shared" si="1"/>
        <v>101.66625000000001</v>
      </c>
      <c r="F61" s="12">
        <f t="shared" si="2"/>
        <v>137.75776875</v>
      </c>
      <c r="G61" s="13" t="s">
        <v>165</v>
      </c>
    </row>
    <row r="62" spans="1:7" x14ac:dyDescent="0.35">
      <c r="A62" s="9" t="s">
        <v>166</v>
      </c>
      <c r="D62" s="10" t="s">
        <v>134</v>
      </c>
      <c r="E62" s="11">
        <f t="shared" si="1"/>
        <v>29.44458333333333</v>
      </c>
      <c r="F62" s="12">
        <f t="shared" si="2"/>
        <v>39.897410416666659</v>
      </c>
      <c r="G62" s="13" t="s">
        <v>167</v>
      </c>
    </row>
    <row r="63" spans="1:7" x14ac:dyDescent="0.35">
      <c r="A63" s="9" t="s">
        <v>168</v>
      </c>
      <c r="D63" s="10" t="s">
        <v>51</v>
      </c>
      <c r="E63" s="11">
        <f t="shared" si="1"/>
        <v>380</v>
      </c>
      <c r="F63" s="12">
        <f t="shared" si="2"/>
        <v>514.9</v>
      </c>
      <c r="G63" s="13" t="s">
        <v>169</v>
      </c>
    </row>
    <row r="64" spans="1:7" x14ac:dyDescent="0.35">
      <c r="A64" s="9" t="s">
        <v>170</v>
      </c>
      <c r="D64" s="10" t="s">
        <v>10</v>
      </c>
      <c r="E64" s="11">
        <f t="shared" si="1"/>
        <v>133.333</v>
      </c>
      <c r="F64" s="12">
        <f t="shared" si="2"/>
        <v>180.66621499999999</v>
      </c>
      <c r="G64" s="13" t="s">
        <v>171</v>
      </c>
    </row>
    <row r="65" spans="1:7" x14ac:dyDescent="0.35">
      <c r="A65" s="9" t="s">
        <v>172</v>
      </c>
      <c r="D65" s="10" t="s">
        <v>54</v>
      </c>
      <c r="E65" s="11">
        <f t="shared" si="1"/>
        <v>38.461666666666666</v>
      </c>
      <c r="F65" s="12">
        <f t="shared" si="2"/>
        <v>52.115558333333333</v>
      </c>
      <c r="G65" s="13" t="s">
        <v>173</v>
      </c>
    </row>
    <row r="66" spans="1:7" x14ac:dyDescent="0.35">
      <c r="A66" s="9" t="s">
        <v>174</v>
      </c>
      <c r="D66" s="10" t="s">
        <v>154</v>
      </c>
      <c r="E66" s="11">
        <f t="shared" si="1"/>
        <v>22</v>
      </c>
      <c r="F66" s="12">
        <f t="shared" si="2"/>
        <v>29.81</v>
      </c>
      <c r="G66" s="13" t="s">
        <v>175</v>
      </c>
    </row>
    <row r="67" spans="1:7" x14ac:dyDescent="0.35">
      <c r="A67" s="9" t="s">
        <v>176</v>
      </c>
      <c r="D67" s="10" t="s">
        <v>24</v>
      </c>
      <c r="E67" s="11">
        <f t="shared" ref="E67:E130" si="3">G67/D67</f>
        <v>50</v>
      </c>
      <c r="F67" s="12">
        <f t="shared" si="2"/>
        <v>67.75</v>
      </c>
      <c r="G67" s="13" t="s">
        <v>177</v>
      </c>
    </row>
    <row r="68" spans="1:7" x14ac:dyDescent="0.35">
      <c r="A68" s="9" t="s">
        <v>178</v>
      </c>
      <c r="D68" s="10" t="s">
        <v>179</v>
      </c>
      <c r="E68" s="11">
        <f t="shared" si="3"/>
        <v>14.201971830985915</v>
      </c>
      <c r="F68" s="12">
        <f t="shared" si="2"/>
        <v>19.243671830985914</v>
      </c>
      <c r="G68" s="13" t="s">
        <v>180</v>
      </c>
    </row>
    <row r="69" spans="1:7" x14ac:dyDescent="0.35">
      <c r="A69" s="9" t="s">
        <v>181</v>
      </c>
      <c r="D69" s="10" t="s">
        <v>154</v>
      </c>
      <c r="E69" s="11">
        <f t="shared" si="3"/>
        <v>37</v>
      </c>
      <c r="F69" s="12">
        <f t="shared" si="2"/>
        <v>50.134999999999998</v>
      </c>
      <c r="G69" s="13" t="s">
        <v>182</v>
      </c>
    </row>
    <row r="70" spans="1:7" x14ac:dyDescent="0.35">
      <c r="A70" s="9" t="s">
        <v>183</v>
      </c>
      <c r="D70" s="10" t="s">
        <v>24</v>
      </c>
      <c r="E70" s="11">
        <f t="shared" si="3"/>
        <v>58</v>
      </c>
      <c r="F70" s="12">
        <f t="shared" si="2"/>
        <v>78.59</v>
      </c>
      <c r="G70" s="13" t="s">
        <v>184</v>
      </c>
    </row>
    <row r="71" spans="1:7" x14ac:dyDescent="0.35">
      <c r="A71" s="9" t="s">
        <v>185</v>
      </c>
      <c r="D71" s="10" t="s">
        <v>51</v>
      </c>
      <c r="E71" s="11">
        <f t="shared" si="3"/>
        <v>24</v>
      </c>
      <c r="F71" s="12">
        <f t="shared" si="2"/>
        <v>32.519999999999996</v>
      </c>
      <c r="G71" s="13" t="s">
        <v>186</v>
      </c>
    </row>
    <row r="72" spans="1:7" x14ac:dyDescent="0.35">
      <c r="A72" s="9" t="s">
        <v>187</v>
      </c>
      <c r="D72" s="10" t="s">
        <v>154</v>
      </c>
      <c r="E72" s="11">
        <f t="shared" si="3"/>
        <v>45</v>
      </c>
      <c r="F72" s="12">
        <f t="shared" si="2"/>
        <v>60.975000000000001</v>
      </c>
      <c r="G72" s="13" t="s">
        <v>188</v>
      </c>
    </row>
    <row r="73" spans="1:7" x14ac:dyDescent="0.35">
      <c r="A73" s="9" t="s">
        <v>189</v>
      </c>
      <c r="D73" s="10" t="s">
        <v>154</v>
      </c>
      <c r="E73" s="11">
        <f>G73/D73</f>
        <v>42</v>
      </c>
      <c r="F73" s="12">
        <f t="shared" si="2"/>
        <v>56.91</v>
      </c>
      <c r="G73" s="13" t="s">
        <v>190</v>
      </c>
    </row>
    <row r="74" spans="1:7" x14ac:dyDescent="0.35">
      <c r="A74" s="9" t="s">
        <v>191</v>
      </c>
      <c r="D74" s="10" t="s">
        <v>24</v>
      </c>
      <c r="E74" s="11">
        <f t="shared" si="3"/>
        <v>16</v>
      </c>
      <c r="F74" s="12">
        <f t="shared" si="2"/>
        <v>21.68</v>
      </c>
      <c r="G74" s="13" t="s">
        <v>192</v>
      </c>
    </row>
    <row r="75" spans="1:7" x14ac:dyDescent="0.35">
      <c r="A75" s="9" t="s">
        <v>193</v>
      </c>
      <c r="D75" s="10" t="s">
        <v>194</v>
      </c>
      <c r="E75" s="11">
        <f t="shared" si="3"/>
        <v>50</v>
      </c>
      <c r="F75" s="12">
        <f t="shared" si="2"/>
        <v>67.75</v>
      </c>
      <c r="G75" s="13" t="s">
        <v>195</v>
      </c>
    </row>
    <row r="76" spans="1:7" x14ac:dyDescent="0.35">
      <c r="A76" s="9" t="s">
        <v>196</v>
      </c>
      <c r="D76" s="10" t="s">
        <v>154</v>
      </c>
      <c r="E76" s="11">
        <f t="shared" si="3"/>
        <v>75</v>
      </c>
      <c r="F76" s="12">
        <f t="shared" si="2"/>
        <v>101.625</v>
      </c>
      <c r="G76" s="13" t="s">
        <v>197</v>
      </c>
    </row>
    <row r="77" spans="1:7" x14ac:dyDescent="0.35">
      <c r="A77" s="9" t="s">
        <v>198</v>
      </c>
      <c r="D77" s="10" t="s">
        <v>51</v>
      </c>
      <c r="E77" s="11">
        <f t="shared" si="3"/>
        <v>55</v>
      </c>
      <c r="F77" s="12">
        <f t="shared" si="2"/>
        <v>74.525000000000006</v>
      </c>
      <c r="G77" s="13" t="s">
        <v>199</v>
      </c>
    </row>
    <row r="78" spans="1:7" x14ac:dyDescent="0.35">
      <c r="A78" s="9" t="s">
        <v>200</v>
      </c>
      <c r="D78" s="10" t="s">
        <v>201</v>
      </c>
      <c r="E78" s="11">
        <f t="shared" si="3"/>
        <v>20.370588235294118</v>
      </c>
      <c r="F78" s="12">
        <f t="shared" ref="F78:F141" si="4">35.5/100*E78+E78</f>
        <v>27.60214705882353</v>
      </c>
      <c r="G78" s="13" t="s">
        <v>202</v>
      </c>
    </row>
    <row r="79" spans="1:7" x14ac:dyDescent="0.35">
      <c r="A79" s="9" t="s">
        <v>203</v>
      </c>
      <c r="D79" s="10" t="s">
        <v>51</v>
      </c>
      <c r="E79" s="11">
        <f t="shared" si="3"/>
        <v>310</v>
      </c>
      <c r="F79" s="12">
        <f t="shared" si="4"/>
        <v>420.05</v>
      </c>
      <c r="G79" s="13" t="s">
        <v>204</v>
      </c>
    </row>
    <row r="80" spans="1:7" x14ac:dyDescent="0.35">
      <c r="A80" s="9" t="s">
        <v>205</v>
      </c>
      <c r="D80" s="10" t="s">
        <v>51</v>
      </c>
      <c r="E80" s="11">
        <f t="shared" si="3"/>
        <v>186.67</v>
      </c>
      <c r="F80" s="12">
        <f t="shared" si="4"/>
        <v>252.93784999999997</v>
      </c>
      <c r="G80" s="13" t="s">
        <v>206</v>
      </c>
    </row>
    <row r="81" spans="1:7" x14ac:dyDescent="0.35">
      <c r="A81" s="9" t="s">
        <v>207</v>
      </c>
      <c r="D81" s="10" t="s">
        <v>208</v>
      </c>
      <c r="E81" s="11">
        <f t="shared" si="3"/>
        <v>13.923076923076923</v>
      </c>
      <c r="F81" s="12">
        <f t="shared" si="4"/>
        <v>18.865769230769232</v>
      </c>
      <c r="G81" s="13" t="s">
        <v>209</v>
      </c>
    </row>
    <row r="82" spans="1:7" x14ac:dyDescent="0.35">
      <c r="A82" s="9" t="s">
        <v>210</v>
      </c>
      <c r="D82" s="10" t="s">
        <v>194</v>
      </c>
      <c r="E82" s="11">
        <f t="shared" si="3"/>
        <v>121.11142857142856</v>
      </c>
      <c r="F82" s="12">
        <f t="shared" si="4"/>
        <v>164.10598571428571</v>
      </c>
      <c r="G82" s="13" t="s">
        <v>211</v>
      </c>
    </row>
    <row r="83" spans="1:7" x14ac:dyDescent="0.35">
      <c r="A83" s="9" t="s">
        <v>212</v>
      </c>
      <c r="D83" s="10" t="s">
        <v>154</v>
      </c>
      <c r="E83" s="11">
        <f t="shared" si="3"/>
        <v>60</v>
      </c>
      <c r="F83" s="12">
        <f t="shared" si="4"/>
        <v>81.3</v>
      </c>
      <c r="G83" s="13" t="s">
        <v>213</v>
      </c>
    </row>
    <row r="84" spans="1:7" x14ac:dyDescent="0.35">
      <c r="A84" s="9" t="s">
        <v>214</v>
      </c>
      <c r="D84" s="10" t="s">
        <v>106</v>
      </c>
      <c r="E84" s="11">
        <f t="shared" si="3"/>
        <v>32</v>
      </c>
      <c r="F84" s="12">
        <f t="shared" si="4"/>
        <v>43.36</v>
      </c>
      <c r="G84" s="13" t="s">
        <v>215</v>
      </c>
    </row>
    <row r="85" spans="1:7" x14ac:dyDescent="0.35">
      <c r="A85" s="9" t="s">
        <v>216</v>
      </c>
      <c r="D85" s="10" t="s">
        <v>217</v>
      </c>
      <c r="E85" s="11">
        <f t="shared" si="3"/>
        <v>9</v>
      </c>
      <c r="F85" s="12">
        <f t="shared" si="4"/>
        <v>12.195</v>
      </c>
      <c r="G85" s="13" t="s">
        <v>218</v>
      </c>
    </row>
    <row r="86" spans="1:7" x14ac:dyDescent="0.35">
      <c r="A86" s="9" t="s">
        <v>219</v>
      </c>
      <c r="D86" s="10" t="s">
        <v>220</v>
      </c>
      <c r="E86" s="11">
        <f t="shared" si="3"/>
        <v>17.224374999999998</v>
      </c>
      <c r="F86" s="12">
        <f t="shared" si="4"/>
        <v>23.339028124999999</v>
      </c>
      <c r="G86" s="13" t="s">
        <v>221</v>
      </c>
    </row>
    <row r="87" spans="1:7" x14ac:dyDescent="0.35">
      <c r="A87" s="9" t="s">
        <v>222</v>
      </c>
      <c r="D87" s="10" t="s">
        <v>75</v>
      </c>
      <c r="E87" s="11">
        <f t="shared" si="3"/>
        <v>3.7632500000000002</v>
      </c>
      <c r="F87" s="12">
        <f t="shared" si="4"/>
        <v>5.09920375</v>
      </c>
      <c r="G87" s="13" t="s">
        <v>223</v>
      </c>
    </row>
    <row r="88" spans="1:7" x14ac:dyDescent="0.35">
      <c r="A88" s="9" t="s">
        <v>224</v>
      </c>
      <c r="D88" s="10" t="s">
        <v>225</v>
      </c>
      <c r="E88" s="11">
        <f t="shared" si="3"/>
        <v>12.258421052631579</v>
      </c>
      <c r="F88" s="12">
        <f t="shared" si="4"/>
        <v>16.610160526315788</v>
      </c>
      <c r="G88" s="13" t="s">
        <v>226</v>
      </c>
    </row>
    <row r="89" spans="1:7" x14ac:dyDescent="0.35">
      <c r="A89" s="9" t="s">
        <v>227</v>
      </c>
      <c r="D89" s="10" t="s">
        <v>51</v>
      </c>
      <c r="E89" s="11">
        <f t="shared" si="3"/>
        <v>40</v>
      </c>
      <c r="F89" s="12">
        <f t="shared" si="4"/>
        <v>54.2</v>
      </c>
      <c r="G89" s="13" t="s">
        <v>107</v>
      </c>
    </row>
    <row r="90" spans="1:7" x14ac:dyDescent="0.35">
      <c r="A90" s="9" t="s">
        <v>228</v>
      </c>
      <c r="D90" s="10" t="s">
        <v>27</v>
      </c>
      <c r="E90" s="11">
        <f t="shared" si="3"/>
        <v>50</v>
      </c>
      <c r="F90" s="12">
        <f t="shared" si="4"/>
        <v>67.75</v>
      </c>
      <c r="G90" s="13" t="s">
        <v>78</v>
      </c>
    </row>
    <row r="91" spans="1:7" x14ac:dyDescent="0.35">
      <c r="A91" s="9" t="s">
        <v>229</v>
      </c>
      <c r="D91" s="10" t="s">
        <v>51</v>
      </c>
      <c r="E91" s="11">
        <f t="shared" si="3"/>
        <v>56</v>
      </c>
      <c r="F91" s="12">
        <f t="shared" si="4"/>
        <v>75.88</v>
      </c>
      <c r="G91" s="13" t="s">
        <v>230</v>
      </c>
    </row>
    <row r="92" spans="1:7" x14ac:dyDescent="0.35">
      <c r="A92" s="9" t="s">
        <v>231</v>
      </c>
      <c r="D92" s="10" t="s">
        <v>51</v>
      </c>
      <c r="E92" s="11">
        <f t="shared" si="3"/>
        <v>90</v>
      </c>
      <c r="F92" s="12">
        <f t="shared" si="4"/>
        <v>121.95</v>
      </c>
      <c r="G92" s="13" t="s">
        <v>232</v>
      </c>
    </row>
    <row r="93" spans="1:7" x14ac:dyDescent="0.35">
      <c r="A93" s="9" t="s">
        <v>233</v>
      </c>
      <c r="D93" s="10" t="s">
        <v>154</v>
      </c>
      <c r="E93" s="11">
        <f t="shared" si="3"/>
        <v>85</v>
      </c>
      <c r="F93" s="12">
        <f t="shared" si="4"/>
        <v>115.175</v>
      </c>
      <c r="G93" s="13" t="s">
        <v>234</v>
      </c>
    </row>
    <row r="94" spans="1:7" x14ac:dyDescent="0.35">
      <c r="A94" s="9" t="s">
        <v>235</v>
      </c>
      <c r="D94" s="10" t="s">
        <v>124</v>
      </c>
      <c r="E94" s="11">
        <f t="shared" si="3"/>
        <v>17.78</v>
      </c>
      <c r="F94" s="12">
        <f t="shared" si="4"/>
        <v>24.091900000000003</v>
      </c>
      <c r="G94" s="13" t="s">
        <v>236</v>
      </c>
    </row>
    <row r="95" spans="1:7" x14ac:dyDescent="0.35">
      <c r="A95" s="9" t="s">
        <v>237</v>
      </c>
      <c r="D95" s="10" t="s">
        <v>10</v>
      </c>
      <c r="E95" s="11">
        <f t="shared" si="3"/>
        <v>25</v>
      </c>
      <c r="F95" s="12">
        <f t="shared" si="4"/>
        <v>33.875</v>
      </c>
      <c r="G95" s="13" t="s">
        <v>89</v>
      </c>
    </row>
    <row r="96" spans="1:7" x14ac:dyDescent="0.35">
      <c r="A96" s="9" t="s">
        <v>238</v>
      </c>
      <c r="D96" s="10" t="s">
        <v>239</v>
      </c>
      <c r="E96" s="11">
        <f t="shared" si="3"/>
        <v>3</v>
      </c>
      <c r="F96" s="12">
        <f t="shared" si="4"/>
        <v>4.0649999999999995</v>
      </c>
      <c r="G96" s="13" t="s">
        <v>240</v>
      </c>
    </row>
    <row r="97" spans="1:7" x14ac:dyDescent="0.35">
      <c r="A97" s="9" t="s">
        <v>241</v>
      </c>
      <c r="D97" s="10" t="s">
        <v>154</v>
      </c>
      <c r="E97" s="11">
        <f t="shared" si="3"/>
        <v>8</v>
      </c>
      <c r="F97" s="12">
        <f t="shared" si="4"/>
        <v>10.84</v>
      </c>
      <c r="G97" s="13" t="s">
        <v>186</v>
      </c>
    </row>
    <row r="98" spans="1:7" x14ac:dyDescent="0.35">
      <c r="A98" s="9" t="s">
        <v>242</v>
      </c>
      <c r="D98" s="10" t="s">
        <v>24</v>
      </c>
      <c r="E98" s="11">
        <f t="shared" si="3"/>
        <v>9.5</v>
      </c>
      <c r="F98" s="12">
        <f t="shared" si="4"/>
        <v>12.872499999999999</v>
      </c>
      <c r="G98" s="13" t="s">
        <v>243</v>
      </c>
    </row>
    <row r="99" spans="1:7" x14ac:dyDescent="0.35">
      <c r="A99" s="9" t="s">
        <v>244</v>
      </c>
      <c r="D99" s="10" t="s">
        <v>69</v>
      </c>
      <c r="E99" s="11">
        <f t="shared" si="3"/>
        <v>20</v>
      </c>
      <c r="F99" s="12">
        <f t="shared" si="4"/>
        <v>27.1</v>
      </c>
      <c r="G99" s="13" t="s">
        <v>245</v>
      </c>
    </row>
    <row r="100" spans="1:7" x14ac:dyDescent="0.35">
      <c r="A100" s="9" t="s">
        <v>246</v>
      </c>
      <c r="D100" s="10" t="s">
        <v>51</v>
      </c>
      <c r="E100" s="11">
        <f t="shared" si="3"/>
        <v>120</v>
      </c>
      <c r="F100" s="12">
        <f t="shared" si="4"/>
        <v>162.6</v>
      </c>
      <c r="G100" s="13" t="s">
        <v>245</v>
      </c>
    </row>
    <row r="101" spans="1:7" x14ac:dyDescent="0.35">
      <c r="A101" s="9" t="s">
        <v>247</v>
      </c>
      <c r="D101" s="10" t="s">
        <v>217</v>
      </c>
      <c r="E101" s="11">
        <f t="shared" si="3"/>
        <v>14.103448275862069</v>
      </c>
      <c r="F101" s="12">
        <f t="shared" si="4"/>
        <v>19.110172413793105</v>
      </c>
      <c r="G101" s="13" t="s">
        <v>248</v>
      </c>
    </row>
    <row r="102" spans="1:7" x14ac:dyDescent="0.35">
      <c r="A102" s="9" t="s">
        <v>249</v>
      </c>
      <c r="D102" s="10" t="s">
        <v>69</v>
      </c>
      <c r="E102" s="11">
        <f t="shared" si="3"/>
        <v>38.964999999999996</v>
      </c>
      <c r="F102" s="12">
        <f t="shared" si="4"/>
        <v>52.797574999999995</v>
      </c>
      <c r="G102" s="13" t="s">
        <v>250</v>
      </c>
    </row>
    <row r="103" spans="1:7" x14ac:dyDescent="0.35">
      <c r="A103" s="9" t="s">
        <v>251</v>
      </c>
      <c r="D103" s="10" t="s">
        <v>208</v>
      </c>
      <c r="E103" s="11">
        <f t="shared" si="3"/>
        <v>12.5</v>
      </c>
      <c r="F103" s="12">
        <f t="shared" si="4"/>
        <v>16.9375</v>
      </c>
      <c r="G103" s="13" t="s">
        <v>252</v>
      </c>
    </row>
    <row r="104" spans="1:7" x14ac:dyDescent="0.35">
      <c r="A104" s="9" t="s">
        <v>253</v>
      </c>
      <c r="D104" s="10" t="s">
        <v>27</v>
      </c>
      <c r="E104" s="11">
        <f t="shared" si="3"/>
        <v>17.170000000000002</v>
      </c>
      <c r="F104" s="12">
        <f t="shared" si="4"/>
        <v>23.265350000000002</v>
      </c>
      <c r="G104" s="13" t="s">
        <v>254</v>
      </c>
    </row>
    <row r="105" spans="1:7" x14ac:dyDescent="0.35">
      <c r="A105" s="9" t="s">
        <v>255</v>
      </c>
      <c r="D105" s="10" t="s">
        <v>27</v>
      </c>
      <c r="E105" s="11">
        <f t="shared" si="3"/>
        <v>51</v>
      </c>
      <c r="F105" s="12">
        <f t="shared" si="4"/>
        <v>69.105000000000004</v>
      </c>
      <c r="G105" s="13" t="s">
        <v>256</v>
      </c>
    </row>
    <row r="106" spans="1:7" x14ac:dyDescent="0.35">
      <c r="A106" s="9" t="s">
        <v>257</v>
      </c>
      <c r="D106" s="10" t="s">
        <v>69</v>
      </c>
      <c r="E106" s="11">
        <f t="shared" si="3"/>
        <v>15</v>
      </c>
      <c r="F106" s="12">
        <f t="shared" si="4"/>
        <v>20.324999999999999</v>
      </c>
      <c r="G106" s="13" t="s">
        <v>232</v>
      </c>
    </row>
    <row r="107" spans="1:7" x14ac:dyDescent="0.35">
      <c r="A107" s="9" t="s">
        <v>258</v>
      </c>
      <c r="D107" s="10" t="s">
        <v>51</v>
      </c>
      <c r="E107" s="11">
        <f t="shared" si="3"/>
        <v>86.54</v>
      </c>
      <c r="F107" s="12">
        <f t="shared" si="4"/>
        <v>117.2617</v>
      </c>
      <c r="G107" s="13" t="s">
        <v>259</v>
      </c>
    </row>
    <row r="108" spans="1:7" x14ac:dyDescent="0.35">
      <c r="A108" s="9" t="s">
        <v>260</v>
      </c>
      <c r="D108" s="10" t="s">
        <v>154</v>
      </c>
      <c r="E108" s="11">
        <f t="shared" si="3"/>
        <v>28</v>
      </c>
      <c r="F108" s="12">
        <f t="shared" si="4"/>
        <v>37.94</v>
      </c>
      <c r="G108" s="13" t="s">
        <v>261</v>
      </c>
    </row>
    <row r="109" spans="1:7" x14ac:dyDescent="0.35">
      <c r="A109" s="9" t="s">
        <v>262</v>
      </c>
      <c r="D109" s="10" t="s">
        <v>51</v>
      </c>
      <c r="E109" s="11">
        <f t="shared" si="3"/>
        <v>76</v>
      </c>
      <c r="F109" s="12">
        <f t="shared" si="4"/>
        <v>102.97999999999999</v>
      </c>
      <c r="G109" s="13" t="s">
        <v>263</v>
      </c>
    </row>
    <row r="110" spans="1:7" x14ac:dyDescent="0.35">
      <c r="A110" s="9" t="s">
        <v>264</v>
      </c>
      <c r="D110" s="10" t="s">
        <v>24</v>
      </c>
      <c r="E110" s="11">
        <f t="shared" si="3"/>
        <v>68</v>
      </c>
      <c r="F110" s="12">
        <f t="shared" si="4"/>
        <v>92.14</v>
      </c>
      <c r="G110" s="13" t="s">
        <v>265</v>
      </c>
    </row>
    <row r="111" spans="1:7" x14ac:dyDescent="0.35">
      <c r="A111" s="9" t="s">
        <v>266</v>
      </c>
      <c r="D111" s="10" t="s">
        <v>267</v>
      </c>
      <c r="E111" s="11">
        <f t="shared" si="3"/>
        <v>0.17</v>
      </c>
      <c r="F111" s="12">
        <f t="shared" si="4"/>
        <v>0.23035</v>
      </c>
      <c r="G111" s="13" t="s">
        <v>268</v>
      </c>
    </row>
    <row r="112" spans="1:7" x14ac:dyDescent="0.35">
      <c r="A112" s="9" t="s">
        <v>269</v>
      </c>
      <c r="D112" s="10" t="s">
        <v>270</v>
      </c>
      <c r="E112" s="11">
        <f t="shared" si="3"/>
        <v>0.18</v>
      </c>
      <c r="F112" s="12">
        <f t="shared" si="4"/>
        <v>0.24390000000000001</v>
      </c>
      <c r="G112" s="13" t="s">
        <v>271</v>
      </c>
    </row>
    <row r="113" spans="1:7" x14ac:dyDescent="0.35">
      <c r="A113" s="9" t="s">
        <v>272</v>
      </c>
      <c r="D113" s="10" t="s">
        <v>54</v>
      </c>
      <c r="E113" s="11">
        <f t="shared" si="3"/>
        <v>19.033333333333335</v>
      </c>
      <c r="F113" s="12">
        <f t="shared" si="4"/>
        <v>25.790166666666668</v>
      </c>
      <c r="G113" s="13" t="s">
        <v>273</v>
      </c>
    </row>
    <row r="114" spans="1:7" x14ac:dyDescent="0.35">
      <c r="A114" s="9" t="s">
        <v>274</v>
      </c>
      <c r="D114" s="10" t="s">
        <v>154</v>
      </c>
      <c r="E114" s="11">
        <f t="shared" si="3"/>
        <v>93.25</v>
      </c>
      <c r="F114" s="12">
        <f t="shared" si="4"/>
        <v>126.35374999999999</v>
      </c>
      <c r="G114" s="13" t="s">
        <v>275</v>
      </c>
    </row>
    <row r="115" spans="1:7" x14ac:dyDescent="0.35">
      <c r="A115" s="9" t="s">
        <v>276</v>
      </c>
      <c r="D115" s="10" t="s">
        <v>139</v>
      </c>
      <c r="E115" s="11">
        <f t="shared" si="3"/>
        <v>80</v>
      </c>
      <c r="F115" s="12">
        <f t="shared" si="4"/>
        <v>108.4</v>
      </c>
      <c r="G115" s="13" t="s">
        <v>277</v>
      </c>
    </row>
    <row r="116" spans="1:7" x14ac:dyDescent="0.35">
      <c r="A116" s="9" t="s">
        <v>278</v>
      </c>
      <c r="D116" s="10" t="s">
        <v>139</v>
      </c>
      <c r="E116" s="11">
        <f t="shared" si="3"/>
        <v>45.006</v>
      </c>
      <c r="F116" s="12">
        <f t="shared" si="4"/>
        <v>60.983130000000003</v>
      </c>
      <c r="G116" s="13" t="s">
        <v>279</v>
      </c>
    </row>
    <row r="117" spans="1:7" x14ac:dyDescent="0.35">
      <c r="A117" s="9" t="s">
        <v>280</v>
      </c>
      <c r="D117" s="10" t="s">
        <v>24</v>
      </c>
      <c r="E117" s="11">
        <f t="shared" si="3"/>
        <v>70</v>
      </c>
      <c r="F117" s="12">
        <f t="shared" si="4"/>
        <v>94.85</v>
      </c>
      <c r="G117" s="13" t="s">
        <v>281</v>
      </c>
    </row>
    <row r="118" spans="1:7" x14ac:dyDescent="0.35">
      <c r="A118" s="9" t="s">
        <v>282</v>
      </c>
      <c r="D118" s="10" t="s">
        <v>139</v>
      </c>
      <c r="E118" s="11">
        <f t="shared" si="3"/>
        <v>80</v>
      </c>
      <c r="F118" s="12">
        <f t="shared" si="4"/>
        <v>108.4</v>
      </c>
      <c r="G118" s="13" t="s">
        <v>277</v>
      </c>
    </row>
    <row r="119" spans="1:7" x14ac:dyDescent="0.35">
      <c r="A119" s="9" t="s">
        <v>283</v>
      </c>
      <c r="D119" s="10" t="s">
        <v>24</v>
      </c>
      <c r="E119" s="11">
        <f t="shared" si="3"/>
        <v>70</v>
      </c>
      <c r="F119" s="12">
        <f t="shared" si="4"/>
        <v>94.85</v>
      </c>
      <c r="G119" s="13" t="s">
        <v>281</v>
      </c>
    </row>
    <row r="120" spans="1:7" x14ac:dyDescent="0.35">
      <c r="A120" s="9" t="s">
        <v>284</v>
      </c>
      <c r="D120" s="10" t="s">
        <v>54</v>
      </c>
      <c r="E120" s="11">
        <f t="shared" si="3"/>
        <v>48.571666666666665</v>
      </c>
      <c r="F120" s="12">
        <f t="shared" si="4"/>
        <v>65.814608333333325</v>
      </c>
      <c r="G120" s="13" t="s">
        <v>285</v>
      </c>
    </row>
    <row r="121" spans="1:7" x14ac:dyDescent="0.35">
      <c r="A121" s="9" t="s">
        <v>286</v>
      </c>
      <c r="D121" s="10" t="s">
        <v>287</v>
      </c>
      <c r="E121" s="11">
        <f t="shared" si="3"/>
        <v>4.2814649681528669</v>
      </c>
      <c r="F121" s="12">
        <f t="shared" si="4"/>
        <v>5.8013850318471345</v>
      </c>
      <c r="G121" s="13" t="s">
        <v>288</v>
      </c>
    </row>
    <row r="122" spans="1:7" x14ac:dyDescent="0.35">
      <c r="A122" s="9" t="s">
        <v>289</v>
      </c>
      <c r="D122" s="10" t="s">
        <v>51</v>
      </c>
      <c r="E122" s="11">
        <f t="shared" si="3"/>
        <v>220</v>
      </c>
      <c r="F122" s="12">
        <f t="shared" si="4"/>
        <v>298.10000000000002</v>
      </c>
      <c r="G122" s="13" t="s">
        <v>290</v>
      </c>
    </row>
    <row r="123" spans="1:7" x14ac:dyDescent="0.35">
      <c r="A123" s="9" t="s">
        <v>291</v>
      </c>
      <c r="D123" s="10" t="s">
        <v>208</v>
      </c>
      <c r="E123" s="11">
        <f t="shared" si="3"/>
        <v>9.4676923076923067</v>
      </c>
      <c r="F123" s="12">
        <f t="shared" si="4"/>
        <v>12.828723076923076</v>
      </c>
      <c r="G123" s="13" t="s">
        <v>292</v>
      </c>
    </row>
    <row r="124" spans="1:7" x14ac:dyDescent="0.35">
      <c r="A124" s="9" t="s">
        <v>293</v>
      </c>
      <c r="D124" s="10" t="s">
        <v>69</v>
      </c>
      <c r="E124" s="11">
        <f t="shared" si="3"/>
        <v>142.5</v>
      </c>
      <c r="F124" s="12">
        <f t="shared" si="4"/>
        <v>193.08750000000001</v>
      </c>
      <c r="G124" s="13" t="s">
        <v>294</v>
      </c>
    </row>
    <row r="125" spans="1:7" x14ac:dyDescent="0.35">
      <c r="A125" s="9" t="s">
        <v>295</v>
      </c>
      <c r="D125" s="10" t="s">
        <v>124</v>
      </c>
      <c r="E125" s="11">
        <f t="shared" si="3"/>
        <v>42.583333333333336</v>
      </c>
      <c r="F125" s="12">
        <f t="shared" si="4"/>
        <v>57.700416666666669</v>
      </c>
      <c r="G125" s="13" t="s">
        <v>296</v>
      </c>
    </row>
    <row r="126" spans="1:7" x14ac:dyDescent="0.35">
      <c r="A126" s="9" t="s">
        <v>297</v>
      </c>
      <c r="D126" s="10" t="s">
        <v>24</v>
      </c>
      <c r="E126" s="11">
        <f t="shared" si="3"/>
        <v>25.78</v>
      </c>
      <c r="F126" s="12">
        <f t="shared" si="4"/>
        <v>34.931899999999999</v>
      </c>
      <c r="G126" s="13" t="s">
        <v>298</v>
      </c>
    </row>
    <row r="127" spans="1:7" x14ac:dyDescent="0.35">
      <c r="A127" s="9" t="s">
        <v>299</v>
      </c>
      <c r="D127" s="10" t="s">
        <v>139</v>
      </c>
      <c r="E127" s="11">
        <f t="shared" si="3"/>
        <v>100</v>
      </c>
      <c r="F127" s="12">
        <f t="shared" si="4"/>
        <v>135.5</v>
      </c>
      <c r="G127" s="13" t="s">
        <v>300</v>
      </c>
    </row>
    <row r="128" spans="1:7" x14ac:dyDescent="0.35">
      <c r="A128" s="9" t="s">
        <v>301</v>
      </c>
      <c r="D128" s="10" t="s">
        <v>154</v>
      </c>
      <c r="E128" s="11">
        <f t="shared" si="3"/>
        <v>16.336666666666666</v>
      </c>
      <c r="F128" s="12">
        <f t="shared" si="4"/>
        <v>22.136183333333332</v>
      </c>
      <c r="G128" s="13" t="s">
        <v>302</v>
      </c>
    </row>
    <row r="129" spans="1:7" x14ac:dyDescent="0.35">
      <c r="A129" s="9" t="s">
        <v>303</v>
      </c>
      <c r="D129" s="10" t="s">
        <v>139</v>
      </c>
      <c r="E129" s="11">
        <f t="shared" si="3"/>
        <v>140.00399999999999</v>
      </c>
      <c r="F129" s="12">
        <f t="shared" si="4"/>
        <v>189.70541999999998</v>
      </c>
      <c r="G129" s="13" t="s">
        <v>304</v>
      </c>
    </row>
    <row r="130" spans="1:7" x14ac:dyDescent="0.35">
      <c r="A130" s="9" t="s">
        <v>305</v>
      </c>
      <c r="D130" s="10" t="s">
        <v>69</v>
      </c>
      <c r="E130" s="11">
        <f t="shared" si="3"/>
        <v>40</v>
      </c>
      <c r="F130" s="12">
        <f t="shared" si="4"/>
        <v>54.2</v>
      </c>
      <c r="G130" s="13" t="s">
        <v>306</v>
      </c>
    </row>
    <row r="131" spans="1:7" x14ac:dyDescent="0.35">
      <c r="A131" s="9" t="s">
        <v>307</v>
      </c>
      <c r="D131" s="10" t="s">
        <v>134</v>
      </c>
      <c r="E131" s="11">
        <f t="shared" ref="E131:E194" si="5">G131/D131</f>
        <v>20.806250000000002</v>
      </c>
      <c r="F131" s="12">
        <f t="shared" si="4"/>
        <v>28.192468750000003</v>
      </c>
      <c r="G131" s="13" t="s">
        <v>308</v>
      </c>
    </row>
    <row r="132" spans="1:7" x14ac:dyDescent="0.35">
      <c r="A132" s="9" t="s">
        <v>309</v>
      </c>
      <c r="D132" s="10" t="s">
        <v>51</v>
      </c>
      <c r="E132" s="11">
        <f t="shared" si="5"/>
        <v>120</v>
      </c>
      <c r="F132" s="12">
        <f t="shared" si="4"/>
        <v>162.6</v>
      </c>
      <c r="G132" s="13" t="s">
        <v>245</v>
      </c>
    </row>
    <row r="133" spans="1:7" x14ac:dyDescent="0.35">
      <c r="A133" s="9" t="s">
        <v>310</v>
      </c>
      <c r="D133" s="10" t="s">
        <v>51</v>
      </c>
      <c r="E133" s="11">
        <f t="shared" si="5"/>
        <v>54.4</v>
      </c>
      <c r="F133" s="12">
        <f t="shared" si="4"/>
        <v>73.711999999999989</v>
      </c>
      <c r="G133" s="13" t="s">
        <v>311</v>
      </c>
    </row>
    <row r="134" spans="1:7" x14ac:dyDescent="0.35">
      <c r="A134" s="9" t="s">
        <v>312</v>
      </c>
      <c r="D134" s="10" t="s">
        <v>139</v>
      </c>
      <c r="E134" s="11">
        <f t="shared" si="5"/>
        <v>90</v>
      </c>
      <c r="F134" s="12">
        <f t="shared" si="4"/>
        <v>121.95</v>
      </c>
      <c r="G134" s="13" t="s">
        <v>313</v>
      </c>
    </row>
    <row r="135" spans="1:7" x14ac:dyDescent="0.35">
      <c r="A135" s="9" t="s">
        <v>314</v>
      </c>
      <c r="D135" s="10" t="s">
        <v>24</v>
      </c>
      <c r="E135" s="11">
        <f t="shared" si="5"/>
        <v>82</v>
      </c>
      <c r="F135" s="12">
        <f t="shared" si="4"/>
        <v>111.11</v>
      </c>
      <c r="G135" s="13" t="s">
        <v>315</v>
      </c>
    </row>
    <row r="136" spans="1:7" x14ac:dyDescent="0.35">
      <c r="A136" s="9" t="s">
        <v>316</v>
      </c>
      <c r="D136" s="10" t="s">
        <v>69</v>
      </c>
      <c r="E136" s="11">
        <f t="shared" si="5"/>
        <v>66.25</v>
      </c>
      <c r="F136" s="12">
        <f t="shared" si="4"/>
        <v>89.768749999999997</v>
      </c>
      <c r="G136" s="13" t="s">
        <v>317</v>
      </c>
    </row>
    <row r="137" spans="1:7" x14ac:dyDescent="0.35">
      <c r="A137" s="9" t="s">
        <v>318</v>
      </c>
      <c r="D137" s="10" t="s">
        <v>124</v>
      </c>
      <c r="E137" s="11">
        <f t="shared" si="5"/>
        <v>32</v>
      </c>
      <c r="F137" s="12">
        <f t="shared" si="4"/>
        <v>43.36</v>
      </c>
      <c r="G137" s="13" t="s">
        <v>319</v>
      </c>
    </row>
    <row r="138" spans="1:7" x14ac:dyDescent="0.35">
      <c r="A138" s="9" t="s">
        <v>320</v>
      </c>
      <c r="D138" s="10" t="s">
        <v>124</v>
      </c>
      <c r="E138" s="11">
        <f t="shared" si="5"/>
        <v>13.055555555555555</v>
      </c>
      <c r="F138" s="12">
        <f t="shared" si="4"/>
        <v>17.690277777777776</v>
      </c>
      <c r="G138" s="13" t="s">
        <v>321</v>
      </c>
    </row>
    <row r="139" spans="1:7" x14ac:dyDescent="0.35">
      <c r="A139" s="9" t="s">
        <v>322</v>
      </c>
      <c r="D139" s="10" t="s">
        <v>106</v>
      </c>
      <c r="E139" s="11">
        <f t="shared" si="5"/>
        <v>76.741249999999994</v>
      </c>
      <c r="F139" s="12">
        <f t="shared" si="4"/>
        <v>103.98439375</v>
      </c>
      <c r="G139" s="13" t="s">
        <v>323</v>
      </c>
    </row>
    <row r="140" spans="1:7" x14ac:dyDescent="0.35">
      <c r="A140" s="9" t="s">
        <v>324</v>
      </c>
      <c r="D140" s="10" t="s">
        <v>325</v>
      </c>
      <c r="E140" s="11">
        <f t="shared" si="5"/>
        <v>8.5633333333333344</v>
      </c>
      <c r="F140" s="12">
        <f t="shared" si="4"/>
        <v>11.603316666666668</v>
      </c>
      <c r="G140" s="13" t="s">
        <v>326</v>
      </c>
    </row>
    <row r="141" spans="1:7" x14ac:dyDescent="0.35">
      <c r="A141" s="9" t="s">
        <v>327</v>
      </c>
      <c r="D141" s="10" t="s">
        <v>69</v>
      </c>
      <c r="E141" s="11">
        <f t="shared" si="5"/>
        <v>36.923333333333332</v>
      </c>
      <c r="F141" s="12">
        <f t="shared" si="4"/>
        <v>50.031116666666662</v>
      </c>
      <c r="G141" s="13" t="s">
        <v>328</v>
      </c>
    </row>
    <row r="142" spans="1:7" x14ac:dyDescent="0.35">
      <c r="A142" s="9" t="s">
        <v>329</v>
      </c>
      <c r="D142" s="10" t="s">
        <v>154</v>
      </c>
      <c r="E142" s="11">
        <f t="shared" si="5"/>
        <v>48</v>
      </c>
      <c r="F142" s="12">
        <f t="shared" ref="F142:F205" si="6">35.5/100*E142+E142</f>
        <v>65.039999999999992</v>
      </c>
      <c r="G142" s="13" t="s">
        <v>119</v>
      </c>
    </row>
    <row r="143" spans="1:7" x14ac:dyDescent="0.35">
      <c r="A143" s="9" t="s">
        <v>330</v>
      </c>
      <c r="D143" s="10" t="s">
        <v>331</v>
      </c>
      <c r="E143" s="11">
        <f t="shared" si="5"/>
        <v>1.2</v>
      </c>
      <c r="F143" s="12">
        <f t="shared" si="6"/>
        <v>1.6259999999999999</v>
      </c>
      <c r="G143" s="13" t="s">
        <v>332</v>
      </c>
    </row>
    <row r="144" spans="1:7" x14ac:dyDescent="0.35">
      <c r="A144" s="9" t="s">
        <v>333</v>
      </c>
      <c r="D144" s="10" t="s">
        <v>51</v>
      </c>
      <c r="E144" s="11">
        <f t="shared" si="5"/>
        <v>50</v>
      </c>
      <c r="F144" s="12">
        <f t="shared" si="6"/>
        <v>67.75</v>
      </c>
      <c r="G144" s="13" t="s">
        <v>334</v>
      </c>
    </row>
    <row r="145" spans="1:7" x14ac:dyDescent="0.35">
      <c r="A145" s="9" t="s">
        <v>335</v>
      </c>
      <c r="D145" s="10" t="s">
        <v>33</v>
      </c>
      <c r="E145" s="11">
        <f t="shared" si="5"/>
        <v>4.46</v>
      </c>
      <c r="F145" s="12">
        <f t="shared" si="6"/>
        <v>6.0433000000000003</v>
      </c>
      <c r="G145" s="13" t="s">
        <v>336</v>
      </c>
    </row>
    <row r="146" spans="1:7" x14ac:dyDescent="0.35">
      <c r="A146" s="9" t="s">
        <v>337</v>
      </c>
      <c r="D146" s="10" t="s">
        <v>75</v>
      </c>
      <c r="E146" s="11">
        <f t="shared" si="5"/>
        <v>10.533249999999999</v>
      </c>
      <c r="F146" s="12">
        <f t="shared" si="6"/>
        <v>14.272553749999998</v>
      </c>
      <c r="G146" s="13" t="s">
        <v>338</v>
      </c>
    </row>
    <row r="147" spans="1:7" x14ac:dyDescent="0.35">
      <c r="A147" s="9" t="s">
        <v>339</v>
      </c>
      <c r="D147" s="10" t="s">
        <v>154</v>
      </c>
      <c r="E147" s="11">
        <f t="shared" si="5"/>
        <v>69</v>
      </c>
      <c r="F147" s="12">
        <f t="shared" si="6"/>
        <v>93.495000000000005</v>
      </c>
      <c r="G147" s="13" t="s">
        <v>340</v>
      </c>
    </row>
    <row r="148" spans="1:7" x14ac:dyDescent="0.35">
      <c r="A148" s="9" t="s">
        <v>341</v>
      </c>
      <c r="D148" s="10" t="s">
        <v>13</v>
      </c>
      <c r="E148" s="11">
        <f t="shared" si="5"/>
        <v>7</v>
      </c>
      <c r="F148" s="12">
        <f t="shared" si="6"/>
        <v>9.4849999999999994</v>
      </c>
      <c r="G148" s="13" t="s">
        <v>342</v>
      </c>
    </row>
    <row r="149" spans="1:7" x14ac:dyDescent="0.35">
      <c r="A149" s="9" t="s">
        <v>343</v>
      </c>
      <c r="D149" s="10" t="s">
        <v>139</v>
      </c>
      <c r="E149" s="11">
        <f t="shared" si="5"/>
        <v>37.733999999999995</v>
      </c>
      <c r="F149" s="12">
        <f t="shared" si="6"/>
        <v>51.129569999999994</v>
      </c>
      <c r="G149" s="13" t="s">
        <v>344</v>
      </c>
    </row>
    <row r="150" spans="1:7" x14ac:dyDescent="0.35">
      <c r="A150" s="9" t="s">
        <v>345</v>
      </c>
      <c r="D150" s="10" t="s">
        <v>139</v>
      </c>
      <c r="E150" s="11">
        <f t="shared" si="5"/>
        <v>5.2219999999999995</v>
      </c>
      <c r="F150" s="12">
        <f t="shared" si="6"/>
        <v>7.0758099999999988</v>
      </c>
      <c r="G150" s="13" t="s">
        <v>346</v>
      </c>
    </row>
    <row r="151" spans="1:7" x14ac:dyDescent="0.35">
      <c r="A151" s="9" t="s">
        <v>347</v>
      </c>
      <c r="D151" s="10" t="s">
        <v>348</v>
      </c>
      <c r="E151" s="11">
        <f t="shared" si="5"/>
        <v>21.95</v>
      </c>
      <c r="F151" s="12">
        <f t="shared" si="6"/>
        <v>29.742249999999999</v>
      </c>
      <c r="G151" s="13" t="s">
        <v>349</v>
      </c>
    </row>
    <row r="152" spans="1:7" x14ac:dyDescent="0.35">
      <c r="A152" s="9" t="s">
        <v>350</v>
      </c>
      <c r="D152" s="10" t="s">
        <v>331</v>
      </c>
      <c r="E152" s="11">
        <f t="shared" si="5"/>
        <v>10</v>
      </c>
      <c r="F152" s="12">
        <f t="shared" si="6"/>
        <v>13.55</v>
      </c>
      <c r="G152" s="13" t="s">
        <v>351</v>
      </c>
    </row>
    <row r="153" spans="1:7" x14ac:dyDescent="0.35">
      <c r="A153" s="9" t="s">
        <v>352</v>
      </c>
      <c r="D153" s="10" t="s">
        <v>124</v>
      </c>
      <c r="E153" s="11">
        <f t="shared" si="5"/>
        <v>11.333333333333334</v>
      </c>
      <c r="F153" s="12">
        <f t="shared" si="6"/>
        <v>15.356666666666667</v>
      </c>
      <c r="G153" s="13" t="s">
        <v>256</v>
      </c>
    </row>
    <row r="154" spans="1:7" x14ac:dyDescent="0.35">
      <c r="A154" s="9" t="s">
        <v>353</v>
      </c>
      <c r="D154" s="10" t="s">
        <v>154</v>
      </c>
      <c r="E154" s="11">
        <f t="shared" si="5"/>
        <v>50.46</v>
      </c>
      <c r="F154" s="12">
        <f t="shared" si="6"/>
        <v>68.3733</v>
      </c>
      <c r="G154" s="13" t="s">
        <v>354</v>
      </c>
    </row>
    <row r="155" spans="1:7" x14ac:dyDescent="0.35">
      <c r="A155" s="9" t="s">
        <v>355</v>
      </c>
      <c r="D155" s="10" t="s">
        <v>51</v>
      </c>
      <c r="E155" s="11">
        <f t="shared" si="5"/>
        <v>160</v>
      </c>
      <c r="F155" s="12">
        <f t="shared" si="6"/>
        <v>216.8</v>
      </c>
      <c r="G155" s="13" t="s">
        <v>356</v>
      </c>
    </row>
    <row r="156" spans="1:7" x14ac:dyDescent="0.35">
      <c r="A156" s="9" t="s">
        <v>357</v>
      </c>
      <c r="D156" s="10" t="s">
        <v>69</v>
      </c>
      <c r="E156" s="11">
        <f t="shared" si="5"/>
        <v>129.16666666666666</v>
      </c>
      <c r="F156" s="12">
        <f t="shared" si="6"/>
        <v>175.02083333333331</v>
      </c>
      <c r="G156" s="13" t="s">
        <v>358</v>
      </c>
    </row>
    <row r="157" spans="1:7" x14ac:dyDescent="0.35">
      <c r="A157" s="9" t="s">
        <v>359</v>
      </c>
      <c r="D157" s="10" t="s">
        <v>360</v>
      </c>
      <c r="E157" s="11">
        <f t="shared" si="5"/>
        <v>11.563529411764707</v>
      </c>
      <c r="F157" s="12">
        <f t="shared" si="6"/>
        <v>15.668582352941177</v>
      </c>
      <c r="G157" s="13" t="s">
        <v>361</v>
      </c>
    </row>
    <row r="158" spans="1:7" x14ac:dyDescent="0.35">
      <c r="A158" s="9" t="s">
        <v>362</v>
      </c>
      <c r="D158" s="10" t="s">
        <v>57</v>
      </c>
      <c r="E158" s="11">
        <f t="shared" si="5"/>
        <v>45</v>
      </c>
      <c r="F158" s="12">
        <f t="shared" si="6"/>
        <v>60.975000000000001</v>
      </c>
      <c r="G158" s="13" t="s">
        <v>363</v>
      </c>
    </row>
    <row r="159" spans="1:7" x14ac:dyDescent="0.35">
      <c r="A159" s="9" t="s">
        <v>364</v>
      </c>
      <c r="D159" s="10" t="s">
        <v>27</v>
      </c>
      <c r="E159" s="11">
        <f t="shared" si="5"/>
        <v>19</v>
      </c>
      <c r="F159" s="12">
        <f t="shared" si="6"/>
        <v>25.744999999999997</v>
      </c>
      <c r="G159" s="13" t="s">
        <v>263</v>
      </c>
    </row>
    <row r="160" spans="1:7" x14ac:dyDescent="0.35">
      <c r="A160" s="9" t="s">
        <v>365</v>
      </c>
      <c r="D160" s="10" t="s">
        <v>51</v>
      </c>
      <c r="E160" s="11">
        <f t="shared" si="5"/>
        <v>13.34</v>
      </c>
      <c r="F160" s="12">
        <f t="shared" si="6"/>
        <v>18.075699999999998</v>
      </c>
      <c r="G160" s="13" t="s">
        <v>366</v>
      </c>
    </row>
    <row r="161" spans="1:7" x14ac:dyDescent="0.35">
      <c r="A161" s="9" t="s">
        <v>367</v>
      </c>
      <c r="D161" s="10" t="s">
        <v>10</v>
      </c>
      <c r="E161" s="11">
        <f t="shared" si="5"/>
        <v>35</v>
      </c>
      <c r="F161" s="12">
        <f t="shared" si="6"/>
        <v>47.424999999999997</v>
      </c>
      <c r="G161" s="13" t="s">
        <v>195</v>
      </c>
    </row>
    <row r="162" spans="1:7" x14ac:dyDescent="0.35">
      <c r="A162" s="9" t="s">
        <v>368</v>
      </c>
      <c r="D162" s="10" t="s">
        <v>60</v>
      </c>
      <c r="E162" s="11">
        <f t="shared" si="5"/>
        <v>15.940000000000001</v>
      </c>
      <c r="F162" s="12">
        <f t="shared" si="6"/>
        <v>21.598700000000001</v>
      </c>
      <c r="G162" s="13" t="s">
        <v>369</v>
      </c>
    </row>
    <row r="163" spans="1:7" x14ac:dyDescent="0.35">
      <c r="A163" s="9" t="s">
        <v>370</v>
      </c>
      <c r="D163" s="10" t="s">
        <v>371</v>
      </c>
      <c r="E163" s="11">
        <f t="shared" si="5"/>
        <v>2.9146666666666667</v>
      </c>
      <c r="F163" s="12">
        <f t="shared" si="6"/>
        <v>3.9493733333333334</v>
      </c>
      <c r="G163" s="13" t="s">
        <v>372</v>
      </c>
    </row>
    <row r="164" spans="1:7" x14ac:dyDescent="0.35">
      <c r="A164" s="9" t="s">
        <v>373</v>
      </c>
      <c r="D164" s="10" t="s">
        <v>374</v>
      </c>
      <c r="E164" s="11">
        <f t="shared" si="5"/>
        <v>3.55</v>
      </c>
      <c r="F164" s="12">
        <f t="shared" si="6"/>
        <v>4.8102499999999999</v>
      </c>
      <c r="G164" s="13" t="s">
        <v>375</v>
      </c>
    </row>
    <row r="165" spans="1:7" x14ac:dyDescent="0.35">
      <c r="A165" s="9" t="s">
        <v>376</v>
      </c>
      <c r="D165" s="10" t="s">
        <v>54</v>
      </c>
      <c r="E165" s="11">
        <f t="shared" si="5"/>
        <v>9.9208333333333325</v>
      </c>
      <c r="F165" s="12">
        <f t="shared" si="6"/>
        <v>13.442729166666666</v>
      </c>
      <c r="G165" s="13" t="s">
        <v>377</v>
      </c>
    </row>
    <row r="166" spans="1:7" x14ac:dyDescent="0.35">
      <c r="A166" s="9" t="s">
        <v>378</v>
      </c>
      <c r="D166" s="10" t="s">
        <v>154</v>
      </c>
      <c r="E166" s="11">
        <f t="shared" si="5"/>
        <v>36</v>
      </c>
      <c r="F166" s="12">
        <f t="shared" si="6"/>
        <v>48.78</v>
      </c>
      <c r="G166" s="13" t="s">
        <v>379</v>
      </c>
    </row>
    <row r="167" spans="1:7" x14ac:dyDescent="0.35">
      <c r="A167" s="9" t="s">
        <v>380</v>
      </c>
      <c r="D167" s="10" t="s">
        <v>139</v>
      </c>
      <c r="E167" s="11">
        <f t="shared" si="5"/>
        <v>13.106</v>
      </c>
      <c r="F167" s="12">
        <f t="shared" si="6"/>
        <v>17.75863</v>
      </c>
      <c r="G167" s="13" t="s">
        <v>381</v>
      </c>
    </row>
    <row r="168" spans="1:7" x14ac:dyDescent="0.35">
      <c r="A168" s="9" t="s">
        <v>382</v>
      </c>
      <c r="D168" s="10" t="s">
        <v>54</v>
      </c>
      <c r="E168" s="11">
        <f t="shared" si="5"/>
        <v>37</v>
      </c>
      <c r="F168" s="12">
        <f t="shared" si="6"/>
        <v>50.134999999999998</v>
      </c>
      <c r="G168" s="13" t="s">
        <v>383</v>
      </c>
    </row>
    <row r="169" spans="1:7" x14ac:dyDescent="0.35">
      <c r="A169" s="9" t="s">
        <v>384</v>
      </c>
      <c r="D169" s="10" t="s">
        <v>69</v>
      </c>
      <c r="E169" s="11">
        <f t="shared" si="5"/>
        <v>49</v>
      </c>
      <c r="F169" s="12">
        <f t="shared" si="6"/>
        <v>66.394999999999996</v>
      </c>
      <c r="G169" s="13" t="s">
        <v>385</v>
      </c>
    </row>
    <row r="170" spans="1:7" x14ac:dyDescent="0.35">
      <c r="A170" s="9" t="s">
        <v>386</v>
      </c>
      <c r="D170" s="10" t="s">
        <v>10</v>
      </c>
      <c r="E170" s="11">
        <f t="shared" si="5"/>
        <v>38.563000000000002</v>
      </c>
      <c r="F170" s="12">
        <f t="shared" si="6"/>
        <v>52.252865</v>
      </c>
      <c r="G170" s="13" t="s">
        <v>387</v>
      </c>
    </row>
    <row r="171" spans="1:7" x14ac:dyDescent="0.35">
      <c r="A171" s="9" t="s">
        <v>388</v>
      </c>
      <c r="D171" s="10" t="s">
        <v>124</v>
      </c>
      <c r="E171" s="11">
        <f t="shared" si="5"/>
        <v>17.543333333333333</v>
      </c>
      <c r="F171" s="12">
        <f t="shared" si="6"/>
        <v>23.771216666666668</v>
      </c>
      <c r="G171" s="13" t="s">
        <v>389</v>
      </c>
    </row>
    <row r="172" spans="1:7" x14ac:dyDescent="0.35">
      <c r="A172" s="9" t="s">
        <v>390</v>
      </c>
      <c r="D172" s="10" t="s">
        <v>391</v>
      </c>
      <c r="E172" s="11">
        <f t="shared" si="5"/>
        <v>0.70207920792079204</v>
      </c>
      <c r="F172" s="12">
        <f t="shared" si="6"/>
        <v>0.95131732673267322</v>
      </c>
      <c r="G172" s="13" t="s">
        <v>392</v>
      </c>
    </row>
    <row r="173" spans="1:7" x14ac:dyDescent="0.35">
      <c r="A173" s="9" t="s">
        <v>393</v>
      </c>
      <c r="D173" s="10" t="s">
        <v>51</v>
      </c>
      <c r="E173" s="11">
        <f t="shared" si="5"/>
        <v>350</v>
      </c>
      <c r="F173" s="12">
        <f t="shared" si="6"/>
        <v>474.25</v>
      </c>
      <c r="G173" s="13" t="s">
        <v>195</v>
      </c>
    </row>
    <row r="174" spans="1:7" x14ac:dyDescent="0.35">
      <c r="A174" s="9" t="s">
        <v>394</v>
      </c>
      <c r="D174" s="10" t="s">
        <v>51</v>
      </c>
      <c r="E174" s="11">
        <f t="shared" si="5"/>
        <v>300</v>
      </c>
      <c r="F174" s="12">
        <f t="shared" si="6"/>
        <v>406.5</v>
      </c>
      <c r="G174" s="13" t="s">
        <v>351</v>
      </c>
    </row>
    <row r="175" spans="1:7" x14ac:dyDescent="0.35">
      <c r="A175" s="9" t="s">
        <v>395</v>
      </c>
      <c r="D175" s="10" t="s">
        <v>51</v>
      </c>
      <c r="E175" s="11">
        <f t="shared" si="5"/>
        <v>200</v>
      </c>
      <c r="F175" s="12">
        <f t="shared" si="6"/>
        <v>271</v>
      </c>
      <c r="G175" s="13" t="s">
        <v>78</v>
      </c>
    </row>
    <row r="176" spans="1:7" x14ac:dyDescent="0.35">
      <c r="A176" s="9" t="s">
        <v>396</v>
      </c>
      <c r="D176" s="10" t="s">
        <v>124</v>
      </c>
      <c r="E176" s="11">
        <f t="shared" si="5"/>
        <v>20.312777777777779</v>
      </c>
      <c r="F176" s="12">
        <f t="shared" si="6"/>
        <v>27.523813888888888</v>
      </c>
      <c r="G176" s="13" t="s">
        <v>397</v>
      </c>
    </row>
    <row r="177" spans="1:7" x14ac:dyDescent="0.35">
      <c r="A177" s="9" t="s">
        <v>398</v>
      </c>
      <c r="D177" s="10" t="s">
        <v>24</v>
      </c>
      <c r="E177" s="11">
        <f t="shared" si="5"/>
        <v>200</v>
      </c>
      <c r="F177" s="12">
        <f t="shared" si="6"/>
        <v>271</v>
      </c>
      <c r="G177" s="13" t="s">
        <v>277</v>
      </c>
    </row>
    <row r="178" spans="1:7" x14ac:dyDescent="0.35">
      <c r="A178" s="9" t="s">
        <v>399</v>
      </c>
      <c r="D178" s="10" t="s">
        <v>134</v>
      </c>
      <c r="E178" s="11">
        <f t="shared" si="5"/>
        <v>19.809166666666666</v>
      </c>
      <c r="F178" s="12">
        <f t="shared" si="6"/>
        <v>26.841420833333331</v>
      </c>
      <c r="G178" s="13" t="s">
        <v>400</v>
      </c>
    </row>
    <row r="179" spans="1:7" x14ac:dyDescent="0.35">
      <c r="A179" s="9" t="s">
        <v>401</v>
      </c>
      <c r="D179" s="10" t="s">
        <v>51</v>
      </c>
      <c r="E179" s="11">
        <f t="shared" si="5"/>
        <v>100</v>
      </c>
      <c r="F179" s="12">
        <f t="shared" si="6"/>
        <v>135.5</v>
      </c>
      <c r="G179" s="13" t="s">
        <v>177</v>
      </c>
    </row>
    <row r="180" spans="1:7" x14ac:dyDescent="0.35">
      <c r="A180" s="9" t="s">
        <v>402</v>
      </c>
      <c r="D180" s="10" t="s">
        <v>154</v>
      </c>
      <c r="E180" s="11">
        <f t="shared" si="5"/>
        <v>120</v>
      </c>
      <c r="F180" s="12">
        <f t="shared" si="6"/>
        <v>162.6</v>
      </c>
      <c r="G180" s="13" t="s">
        <v>403</v>
      </c>
    </row>
    <row r="181" spans="1:7" x14ac:dyDescent="0.35">
      <c r="A181" s="9" t="s">
        <v>404</v>
      </c>
      <c r="D181" s="10" t="s">
        <v>124</v>
      </c>
      <c r="E181" s="11">
        <f t="shared" si="5"/>
        <v>46.29</v>
      </c>
      <c r="F181" s="12">
        <f t="shared" si="6"/>
        <v>62.722949999999997</v>
      </c>
      <c r="G181" s="13" t="s">
        <v>405</v>
      </c>
    </row>
    <row r="182" spans="1:7" x14ac:dyDescent="0.35">
      <c r="A182" s="9" t="s">
        <v>406</v>
      </c>
      <c r="D182" s="10" t="s">
        <v>69</v>
      </c>
      <c r="E182" s="11">
        <f t="shared" si="5"/>
        <v>120</v>
      </c>
      <c r="F182" s="12">
        <f t="shared" si="6"/>
        <v>162.6</v>
      </c>
      <c r="G182" s="13" t="s">
        <v>407</v>
      </c>
    </row>
    <row r="183" spans="1:7" x14ac:dyDescent="0.35">
      <c r="A183" s="9" t="s">
        <v>408</v>
      </c>
      <c r="D183" s="10" t="s">
        <v>154</v>
      </c>
      <c r="E183" s="11">
        <f t="shared" si="5"/>
        <v>80</v>
      </c>
      <c r="F183" s="12">
        <f t="shared" si="6"/>
        <v>108.4</v>
      </c>
      <c r="G183" s="13" t="s">
        <v>306</v>
      </c>
    </row>
    <row r="184" spans="1:7" x14ac:dyDescent="0.35">
      <c r="A184" s="9" t="s">
        <v>409</v>
      </c>
      <c r="D184" s="10" t="s">
        <v>374</v>
      </c>
      <c r="E184" s="11">
        <f t="shared" si="5"/>
        <v>13.001333333333333</v>
      </c>
      <c r="F184" s="12">
        <f t="shared" si="6"/>
        <v>17.616806666666665</v>
      </c>
      <c r="G184" s="13" t="s">
        <v>410</v>
      </c>
    </row>
    <row r="185" spans="1:7" x14ac:dyDescent="0.35">
      <c r="A185" s="9" t="s">
        <v>411</v>
      </c>
      <c r="D185" s="10" t="s">
        <v>51</v>
      </c>
      <c r="E185" s="11">
        <f t="shared" si="5"/>
        <v>100</v>
      </c>
      <c r="F185" s="12">
        <f t="shared" si="6"/>
        <v>135.5</v>
      </c>
      <c r="G185" s="13" t="s">
        <v>177</v>
      </c>
    </row>
    <row r="186" spans="1:7" x14ac:dyDescent="0.35">
      <c r="A186" s="9" t="s">
        <v>412</v>
      </c>
      <c r="D186" s="10" t="s">
        <v>51</v>
      </c>
      <c r="E186" s="11">
        <f t="shared" si="5"/>
        <v>180</v>
      </c>
      <c r="F186" s="12">
        <f t="shared" si="6"/>
        <v>243.9</v>
      </c>
      <c r="G186" s="13" t="s">
        <v>213</v>
      </c>
    </row>
    <row r="187" spans="1:7" x14ac:dyDescent="0.35">
      <c r="A187" s="9" t="s">
        <v>413</v>
      </c>
      <c r="D187" s="10" t="s">
        <v>51</v>
      </c>
      <c r="E187" s="11">
        <f t="shared" si="5"/>
        <v>125.23</v>
      </c>
      <c r="F187" s="12">
        <f t="shared" si="6"/>
        <v>169.68664999999999</v>
      </c>
      <c r="G187" s="13" t="s">
        <v>414</v>
      </c>
    </row>
    <row r="188" spans="1:7" x14ac:dyDescent="0.35">
      <c r="A188" s="9" t="s">
        <v>415</v>
      </c>
      <c r="D188" s="10" t="s">
        <v>416</v>
      </c>
      <c r="E188" s="11">
        <f t="shared" si="5"/>
        <v>23.375</v>
      </c>
      <c r="F188" s="12">
        <f t="shared" si="6"/>
        <v>31.673124999999999</v>
      </c>
      <c r="G188" s="13" t="s">
        <v>417</v>
      </c>
    </row>
    <row r="189" spans="1:7" x14ac:dyDescent="0.35">
      <c r="A189" s="9" t="s">
        <v>418</v>
      </c>
      <c r="D189" s="10" t="s">
        <v>13</v>
      </c>
      <c r="E189" s="11">
        <f t="shared" si="5"/>
        <v>15.73625</v>
      </c>
      <c r="F189" s="12">
        <f t="shared" si="6"/>
        <v>21.32261875</v>
      </c>
      <c r="G189" s="13" t="s">
        <v>419</v>
      </c>
    </row>
    <row r="190" spans="1:7" x14ac:dyDescent="0.35">
      <c r="A190" s="9" t="s">
        <v>420</v>
      </c>
      <c r="D190" s="10" t="s">
        <v>75</v>
      </c>
      <c r="E190" s="11">
        <f t="shared" si="5"/>
        <v>17.27675</v>
      </c>
      <c r="F190" s="12">
        <f t="shared" si="6"/>
        <v>23.409996249999999</v>
      </c>
      <c r="G190" s="13" t="s">
        <v>421</v>
      </c>
    </row>
    <row r="191" spans="1:7" x14ac:dyDescent="0.35">
      <c r="A191" s="9" t="s">
        <v>422</v>
      </c>
      <c r="D191" s="10" t="s">
        <v>51</v>
      </c>
      <c r="E191" s="11">
        <f t="shared" si="5"/>
        <v>40.03</v>
      </c>
      <c r="F191" s="12">
        <f t="shared" si="6"/>
        <v>54.240650000000002</v>
      </c>
      <c r="G191" s="13" t="s">
        <v>423</v>
      </c>
    </row>
    <row r="192" spans="1:7" x14ac:dyDescent="0.35">
      <c r="A192" s="9" t="s">
        <v>424</v>
      </c>
      <c r="D192" s="10" t="s">
        <v>360</v>
      </c>
      <c r="E192" s="11">
        <f t="shared" si="5"/>
        <v>8.4935294117647047</v>
      </c>
      <c r="F192" s="12">
        <f t="shared" si="6"/>
        <v>11.508732352941175</v>
      </c>
      <c r="G192" s="13" t="s">
        <v>425</v>
      </c>
    </row>
    <row r="193" spans="1:7" x14ac:dyDescent="0.35">
      <c r="A193" s="9" t="s">
        <v>426</v>
      </c>
      <c r="D193" s="10" t="s">
        <v>54</v>
      </c>
      <c r="E193" s="11">
        <f t="shared" si="5"/>
        <v>2.9016666666666668</v>
      </c>
      <c r="F193" s="12">
        <f t="shared" si="6"/>
        <v>3.9317583333333337</v>
      </c>
      <c r="G193" s="13" t="s">
        <v>427</v>
      </c>
    </row>
    <row r="194" spans="1:7" x14ac:dyDescent="0.35">
      <c r="A194" s="9" t="s">
        <v>428</v>
      </c>
      <c r="D194" s="10" t="s">
        <v>429</v>
      </c>
      <c r="E194" s="11">
        <f t="shared" si="5"/>
        <v>0.7040294117647059</v>
      </c>
      <c r="F194" s="12">
        <f t="shared" si="6"/>
        <v>0.95395985294117647</v>
      </c>
      <c r="G194" s="13" t="s">
        <v>430</v>
      </c>
    </row>
    <row r="195" spans="1:7" x14ac:dyDescent="0.35">
      <c r="A195" s="9" t="s">
        <v>431</v>
      </c>
      <c r="D195" s="10" t="s">
        <v>36</v>
      </c>
      <c r="E195" s="11">
        <f t="shared" ref="E195:E258" si="7">G195/D195</f>
        <v>11.706315789473683</v>
      </c>
      <c r="F195" s="12">
        <f t="shared" si="6"/>
        <v>15.862057894736839</v>
      </c>
      <c r="G195" s="13" t="s">
        <v>432</v>
      </c>
    </row>
    <row r="196" spans="1:7" x14ac:dyDescent="0.35">
      <c r="A196" s="9" t="s">
        <v>433</v>
      </c>
      <c r="D196" s="10" t="s">
        <v>139</v>
      </c>
      <c r="E196" s="11">
        <f t="shared" si="7"/>
        <v>20.369999999999997</v>
      </c>
      <c r="F196" s="12">
        <f t="shared" si="6"/>
        <v>27.601349999999996</v>
      </c>
      <c r="G196" s="13" t="s">
        <v>434</v>
      </c>
    </row>
    <row r="197" spans="1:7" x14ac:dyDescent="0.35">
      <c r="A197" s="9" t="s">
        <v>435</v>
      </c>
      <c r="D197" s="10" t="s">
        <v>436</v>
      </c>
      <c r="E197" s="11">
        <f t="shared" si="7"/>
        <v>2.4736231884057971</v>
      </c>
      <c r="F197" s="12">
        <f t="shared" si="6"/>
        <v>3.3517594202898549</v>
      </c>
      <c r="G197" s="13" t="s">
        <v>437</v>
      </c>
    </row>
    <row r="198" spans="1:7" x14ac:dyDescent="0.35">
      <c r="A198" s="9" t="s">
        <v>438</v>
      </c>
      <c r="D198" s="10" t="s">
        <v>154</v>
      </c>
      <c r="E198" s="11">
        <f t="shared" si="7"/>
        <v>26.67</v>
      </c>
      <c r="F198" s="12">
        <f t="shared" si="6"/>
        <v>36.13785</v>
      </c>
      <c r="G198" s="13" t="s">
        <v>439</v>
      </c>
    </row>
    <row r="199" spans="1:7" x14ac:dyDescent="0.35">
      <c r="A199" s="9" t="s">
        <v>440</v>
      </c>
      <c r="D199" s="10" t="s">
        <v>10</v>
      </c>
      <c r="E199" s="11">
        <f t="shared" si="7"/>
        <v>15.84</v>
      </c>
      <c r="F199" s="12">
        <f t="shared" si="6"/>
        <v>21.463200000000001</v>
      </c>
      <c r="G199" s="13" t="s">
        <v>441</v>
      </c>
    </row>
    <row r="200" spans="1:7" x14ac:dyDescent="0.35">
      <c r="A200" s="9" t="s">
        <v>442</v>
      </c>
      <c r="D200" s="10" t="s">
        <v>10</v>
      </c>
      <c r="E200" s="11">
        <f t="shared" si="7"/>
        <v>11.238</v>
      </c>
      <c r="F200" s="12">
        <f t="shared" si="6"/>
        <v>15.22749</v>
      </c>
      <c r="G200" s="13" t="s">
        <v>443</v>
      </c>
    </row>
    <row r="201" spans="1:7" x14ac:dyDescent="0.35">
      <c r="A201" s="9" t="s">
        <v>444</v>
      </c>
      <c r="D201" s="10" t="s">
        <v>445</v>
      </c>
      <c r="E201" s="11">
        <f t="shared" si="7"/>
        <v>4.3</v>
      </c>
      <c r="F201" s="12">
        <f t="shared" si="6"/>
        <v>5.8264999999999993</v>
      </c>
      <c r="G201" s="13" t="s">
        <v>446</v>
      </c>
    </row>
    <row r="202" spans="1:7" x14ac:dyDescent="0.35">
      <c r="A202" s="9" t="s">
        <v>447</v>
      </c>
      <c r="D202" s="10" t="s">
        <v>325</v>
      </c>
      <c r="E202" s="11">
        <f t="shared" si="7"/>
        <v>11.959999999999999</v>
      </c>
      <c r="F202" s="12">
        <f t="shared" si="6"/>
        <v>16.205799999999996</v>
      </c>
      <c r="G202" s="13" t="s">
        <v>448</v>
      </c>
    </row>
    <row r="203" spans="1:7" x14ac:dyDescent="0.35">
      <c r="A203" s="9" t="s">
        <v>449</v>
      </c>
      <c r="D203" s="10" t="s">
        <v>100</v>
      </c>
      <c r="E203" s="11">
        <f t="shared" si="7"/>
        <v>28.751363636363635</v>
      </c>
      <c r="F203" s="12">
        <f t="shared" si="6"/>
        <v>38.958097727272722</v>
      </c>
      <c r="G203" s="13" t="s">
        <v>450</v>
      </c>
    </row>
    <row r="204" spans="1:7" x14ac:dyDescent="0.35">
      <c r="A204" s="9" t="s">
        <v>451</v>
      </c>
      <c r="D204" s="10" t="s">
        <v>115</v>
      </c>
      <c r="E204" s="11">
        <f t="shared" si="7"/>
        <v>12.384545454545453</v>
      </c>
      <c r="F204" s="12">
        <f t="shared" si="6"/>
        <v>16.781059090909089</v>
      </c>
      <c r="G204" s="13" t="s">
        <v>452</v>
      </c>
    </row>
    <row r="205" spans="1:7" x14ac:dyDescent="0.35">
      <c r="A205" s="9" t="s">
        <v>453</v>
      </c>
      <c r="D205" s="10" t="s">
        <v>54</v>
      </c>
      <c r="E205" s="11">
        <f t="shared" si="7"/>
        <v>5.2233333333333336</v>
      </c>
      <c r="F205" s="12">
        <f t="shared" si="6"/>
        <v>7.0776166666666667</v>
      </c>
      <c r="G205" s="13" t="s">
        <v>454</v>
      </c>
    </row>
    <row r="206" spans="1:7" x14ac:dyDescent="0.35">
      <c r="A206" s="9" t="s">
        <v>455</v>
      </c>
      <c r="D206" s="10" t="s">
        <v>194</v>
      </c>
      <c r="E206" s="11">
        <f t="shared" si="7"/>
        <v>5.2385714285714284</v>
      </c>
      <c r="F206" s="12">
        <f t="shared" ref="F206:F269" si="8">35.5/100*E206+E206</f>
        <v>7.0982642857142855</v>
      </c>
      <c r="G206" s="13" t="s">
        <v>456</v>
      </c>
    </row>
    <row r="207" spans="1:7" x14ac:dyDescent="0.35">
      <c r="A207" s="9" t="s">
        <v>457</v>
      </c>
      <c r="D207" s="10" t="s">
        <v>112</v>
      </c>
      <c r="E207" s="11">
        <f t="shared" si="7"/>
        <v>8.14</v>
      </c>
      <c r="F207" s="12">
        <f t="shared" si="8"/>
        <v>11.0297</v>
      </c>
      <c r="G207" s="13" t="s">
        <v>458</v>
      </c>
    </row>
    <row r="208" spans="1:7" x14ac:dyDescent="0.35">
      <c r="A208" s="9" t="s">
        <v>459</v>
      </c>
      <c r="D208" s="10" t="s">
        <v>60</v>
      </c>
      <c r="E208" s="11">
        <f t="shared" si="7"/>
        <v>7.7254999999999994</v>
      </c>
      <c r="F208" s="12">
        <f t="shared" si="8"/>
        <v>10.468052499999999</v>
      </c>
      <c r="G208" s="13" t="s">
        <v>460</v>
      </c>
    </row>
    <row r="209" spans="1:7" x14ac:dyDescent="0.35">
      <c r="A209" s="9" t="s">
        <v>461</v>
      </c>
      <c r="D209" s="10" t="s">
        <v>217</v>
      </c>
      <c r="E209" s="11">
        <f t="shared" si="7"/>
        <v>12.982068965517241</v>
      </c>
      <c r="F209" s="12">
        <f t="shared" si="8"/>
        <v>17.59070344827586</v>
      </c>
      <c r="G209" s="13" t="s">
        <v>462</v>
      </c>
    </row>
    <row r="210" spans="1:7" x14ac:dyDescent="0.35">
      <c r="A210" s="9" t="s">
        <v>463</v>
      </c>
      <c r="D210" s="10" t="s">
        <v>27</v>
      </c>
      <c r="E210" s="11">
        <f t="shared" si="7"/>
        <v>9.2825000000000006</v>
      </c>
      <c r="F210" s="12">
        <f t="shared" si="8"/>
        <v>12.577787500000001</v>
      </c>
      <c r="G210" s="13" t="s">
        <v>464</v>
      </c>
    </row>
    <row r="211" spans="1:7" x14ac:dyDescent="0.35">
      <c r="A211" s="9" t="s">
        <v>465</v>
      </c>
      <c r="D211" s="10" t="s">
        <v>51</v>
      </c>
      <c r="E211" s="11">
        <f t="shared" si="7"/>
        <v>160</v>
      </c>
      <c r="F211" s="12">
        <f t="shared" si="8"/>
        <v>216.8</v>
      </c>
      <c r="G211" s="13" t="s">
        <v>356</v>
      </c>
    </row>
    <row r="212" spans="1:7" x14ac:dyDescent="0.35">
      <c r="A212" s="9" t="s">
        <v>466</v>
      </c>
      <c r="D212" s="10" t="s">
        <v>27</v>
      </c>
      <c r="E212" s="11">
        <f t="shared" si="7"/>
        <v>46.25</v>
      </c>
      <c r="F212" s="12">
        <f t="shared" si="8"/>
        <v>62.668750000000003</v>
      </c>
      <c r="G212" s="13" t="s">
        <v>467</v>
      </c>
    </row>
    <row r="213" spans="1:7" x14ac:dyDescent="0.35">
      <c r="A213" s="9" t="s">
        <v>468</v>
      </c>
      <c r="D213" s="10" t="s">
        <v>208</v>
      </c>
      <c r="E213" s="11">
        <f t="shared" si="7"/>
        <v>15.384615384615385</v>
      </c>
      <c r="F213" s="12">
        <f t="shared" si="8"/>
        <v>20.846153846153847</v>
      </c>
      <c r="G213" s="13" t="s">
        <v>277</v>
      </c>
    </row>
    <row r="214" spans="1:7" x14ac:dyDescent="0.35">
      <c r="A214" s="9" t="s">
        <v>469</v>
      </c>
      <c r="D214" s="10" t="s">
        <v>36</v>
      </c>
      <c r="E214" s="11">
        <f t="shared" si="7"/>
        <v>32.777894736842107</v>
      </c>
      <c r="F214" s="12">
        <f t="shared" si="8"/>
        <v>44.414047368421052</v>
      </c>
      <c r="G214" s="13" t="s">
        <v>470</v>
      </c>
    </row>
    <row r="215" spans="1:7" x14ac:dyDescent="0.35">
      <c r="A215" s="9" t="s">
        <v>471</v>
      </c>
      <c r="D215" s="10" t="s">
        <v>325</v>
      </c>
      <c r="E215" s="11">
        <f t="shared" si="7"/>
        <v>22.310952380952379</v>
      </c>
      <c r="F215" s="12">
        <f t="shared" si="8"/>
        <v>30.231340476190475</v>
      </c>
      <c r="G215" s="13" t="s">
        <v>472</v>
      </c>
    </row>
    <row r="216" spans="1:7" x14ac:dyDescent="0.35">
      <c r="A216" s="9" t="s">
        <v>473</v>
      </c>
      <c r="D216" s="10" t="s">
        <v>54</v>
      </c>
      <c r="E216" s="11">
        <f t="shared" si="7"/>
        <v>40.828333333333333</v>
      </c>
      <c r="F216" s="12">
        <f t="shared" si="8"/>
        <v>55.322391666666668</v>
      </c>
      <c r="G216" s="13" t="s">
        <v>474</v>
      </c>
    </row>
    <row r="217" spans="1:7" x14ac:dyDescent="0.35">
      <c r="A217" s="9" t="s">
        <v>475</v>
      </c>
      <c r="D217" s="10" t="s">
        <v>51</v>
      </c>
      <c r="E217" s="11">
        <f t="shared" si="7"/>
        <v>120</v>
      </c>
      <c r="F217" s="12">
        <f t="shared" si="8"/>
        <v>162.6</v>
      </c>
      <c r="G217" s="13" t="s">
        <v>245</v>
      </c>
    </row>
    <row r="218" spans="1:7" x14ac:dyDescent="0.35">
      <c r="A218" s="9" t="s">
        <v>476</v>
      </c>
      <c r="D218" s="10" t="s">
        <v>24</v>
      </c>
      <c r="E218" s="11">
        <f t="shared" si="7"/>
        <v>6.1749999999999998</v>
      </c>
      <c r="F218" s="12">
        <f t="shared" si="8"/>
        <v>8.3671249999999997</v>
      </c>
      <c r="G218" s="13" t="s">
        <v>477</v>
      </c>
    </row>
    <row r="219" spans="1:7" x14ac:dyDescent="0.35">
      <c r="A219" s="9" t="s">
        <v>478</v>
      </c>
      <c r="D219" s="10" t="s">
        <v>51</v>
      </c>
      <c r="E219" s="11">
        <f t="shared" si="7"/>
        <v>31.33</v>
      </c>
      <c r="F219" s="12">
        <f t="shared" si="8"/>
        <v>42.452149999999996</v>
      </c>
      <c r="G219" s="13" t="s">
        <v>479</v>
      </c>
    </row>
    <row r="220" spans="1:7" x14ac:dyDescent="0.35">
      <c r="A220" s="9" t="s">
        <v>480</v>
      </c>
      <c r="D220" s="10" t="s">
        <v>24</v>
      </c>
      <c r="E220" s="11">
        <f t="shared" si="7"/>
        <v>38</v>
      </c>
      <c r="F220" s="12">
        <f t="shared" si="8"/>
        <v>51.489999999999995</v>
      </c>
      <c r="G220" s="13" t="s">
        <v>263</v>
      </c>
    </row>
    <row r="221" spans="1:7" x14ac:dyDescent="0.35">
      <c r="A221" s="9" t="s">
        <v>481</v>
      </c>
      <c r="D221" s="10" t="s">
        <v>51</v>
      </c>
      <c r="E221" s="11">
        <f t="shared" si="7"/>
        <v>36</v>
      </c>
      <c r="F221" s="12">
        <f t="shared" si="8"/>
        <v>48.78</v>
      </c>
      <c r="G221" s="13" t="s">
        <v>332</v>
      </c>
    </row>
    <row r="222" spans="1:7" x14ac:dyDescent="0.35">
      <c r="A222" s="9" t="s">
        <v>482</v>
      </c>
      <c r="D222" s="10" t="s">
        <v>24</v>
      </c>
      <c r="E222" s="11">
        <f t="shared" si="7"/>
        <v>46.25</v>
      </c>
      <c r="F222" s="12">
        <f t="shared" si="8"/>
        <v>62.668750000000003</v>
      </c>
      <c r="G222" s="13" t="s">
        <v>483</v>
      </c>
    </row>
    <row r="223" spans="1:7" x14ac:dyDescent="0.35">
      <c r="A223" s="9" t="s">
        <v>484</v>
      </c>
      <c r="D223" s="10" t="s">
        <v>80</v>
      </c>
      <c r="E223" s="11">
        <f t="shared" si="7"/>
        <v>12.877837837837838</v>
      </c>
      <c r="F223" s="12">
        <f t="shared" si="8"/>
        <v>17.449470270270268</v>
      </c>
      <c r="G223" s="13" t="s">
        <v>485</v>
      </c>
    </row>
    <row r="224" spans="1:7" x14ac:dyDescent="0.35">
      <c r="A224" s="9" t="s">
        <v>486</v>
      </c>
      <c r="D224" s="10" t="s">
        <v>24</v>
      </c>
      <c r="E224" s="11">
        <f t="shared" si="7"/>
        <v>60</v>
      </c>
      <c r="F224" s="12">
        <f t="shared" si="8"/>
        <v>81.3</v>
      </c>
      <c r="G224" s="13" t="s">
        <v>245</v>
      </c>
    </row>
    <row r="225" spans="1:7" x14ac:dyDescent="0.35">
      <c r="A225" s="9" t="s">
        <v>487</v>
      </c>
      <c r="D225" s="10" t="s">
        <v>51</v>
      </c>
      <c r="E225" s="11">
        <f t="shared" si="7"/>
        <v>183.33</v>
      </c>
      <c r="F225" s="12">
        <f t="shared" si="8"/>
        <v>248.41215</v>
      </c>
      <c r="G225" s="13" t="s">
        <v>163</v>
      </c>
    </row>
    <row r="226" spans="1:7" x14ac:dyDescent="0.35">
      <c r="A226" s="9" t="s">
        <v>488</v>
      </c>
      <c r="D226" s="10" t="s">
        <v>24</v>
      </c>
      <c r="E226" s="11">
        <f t="shared" si="7"/>
        <v>31.965</v>
      </c>
      <c r="F226" s="12">
        <f t="shared" si="8"/>
        <v>43.312574999999995</v>
      </c>
      <c r="G226" s="13" t="s">
        <v>489</v>
      </c>
    </row>
    <row r="227" spans="1:7" x14ac:dyDescent="0.35">
      <c r="A227" s="9" t="s">
        <v>490</v>
      </c>
      <c r="D227" s="10" t="s">
        <v>194</v>
      </c>
      <c r="E227" s="11">
        <f t="shared" si="7"/>
        <v>70.625714285714281</v>
      </c>
      <c r="F227" s="12">
        <f t="shared" si="8"/>
        <v>95.697842857142845</v>
      </c>
      <c r="G227" s="13" t="s">
        <v>491</v>
      </c>
    </row>
    <row r="228" spans="1:7" x14ac:dyDescent="0.35">
      <c r="A228" s="9" t="s">
        <v>492</v>
      </c>
      <c r="D228" s="10" t="s">
        <v>416</v>
      </c>
      <c r="E228" s="11">
        <f t="shared" si="7"/>
        <v>7.3949999999999996</v>
      </c>
      <c r="F228" s="12">
        <f t="shared" si="8"/>
        <v>10.020225</v>
      </c>
      <c r="G228" s="13" t="s">
        <v>493</v>
      </c>
    </row>
    <row r="229" spans="1:7" x14ac:dyDescent="0.35">
      <c r="A229" s="9" t="s">
        <v>494</v>
      </c>
      <c r="D229" s="10" t="s">
        <v>10</v>
      </c>
      <c r="E229" s="11">
        <f t="shared" si="7"/>
        <v>28.6</v>
      </c>
      <c r="F229" s="12">
        <f t="shared" si="8"/>
        <v>38.753</v>
      </c>
      <c r="G229" s="13" t="s">
        <v>495</v>
      </c>
    </row>
    <row r="230" spans="1:7" x14ac:dyDescent="0.35">
      <c r="A230" s="9" t="s">
        <v>496</v>
      </c>
      <c r="D230" s="10" t="s">
        <v>51</v>
      </c>
      <c r="E230" s="11">
        <f t="shared" si="7"/>
        <v>350</v>
      </c>
      <c r="F230" s="12">
        <f t="shared" si="8"/>
        <v>474.25</v>
      </c>
      <c r="G230" s="13" t="s">
        <v>195</v>
      </c>
    </row>
    <row r="231" spans="1:7" x14ac:dyDescent="0.35">
      <c r="A231" s="9" t="s">
        <v>497</v>
      </c>
      <c r="D231" s="10" t="s">
        <v>498</v>
      </c>
      <c r="E231" s="11">
        <f t="shared" si="7"/>
        <v>24.21</v>
      </c>
      <c r="F231" s="12">
        <f t="shared" si="8"/>
        <v>32.804549999999999</v>
      </c>
      <c r="G231" s="13" t="s">
        <v>499</v>
      </c>
    </row>
    <row r="232" spans="1:7" x14ac:dyDescent="0.35">
      <c r="A232" s="9" t="s">
        <v>500</v>
      </c>
      <c r="D232" s="10" t="s">
        <v>24</v>
      </c>
      <c r="E232" s="11">
        <f t="shared" si="7"/>
        <v>190</v>
      </c>
      <c r="F232" s="12">
        <f t="shared" si="8"/>
        <v>257.45</v>
      </c>
      <c r="G232" s="13" t="s">
        <v>169</v>
      </c>
    </row>
    <row r="233" spans="1:7" x14ac:dyDescent="0.35">
      <c r="A233" s="9" t="s">
        <v>501</v>
      </c>
      <c r="D233" s="10" t="s">
        <v>106</v>
      </c>
      <c r="E233" s="11">
        <f t="shared" si="7"/>
        <v>105.6525</v>
      </c>
      <c r="F233" s="12">
        <f t="shared" si="8"/>
        <v>143.15913749999999</v>
      </c>
      <c r="G233" s="13" t="s">
        <v>502</v>
      </c>
    </row>
    <row r="234" spans="1:7" x14ac:dyDescent="0.35">
      <c r="A234" s="9" t="s">
        <v>503</v>
      </c>
      <c r="D234" s="10" t="s">
        <v>208</v>
      </c>
      <c r="E234" s="11">
        <f t="shared" si="7"/>
        <v>11.666538461538462</v>
      </c>
      <c r="F234" s="12">
        <f t="shared" si="8"/>
        <v>15.808159615384614</v>
      </c>
      <c r="G234" s="13" t="s">
        <v>504</v>
      </c>
    </row>
    <row r="235" spans="1:7" x14ac:dyDescent="0.35">
      <c r="A235" s="9" t="s">
        <v>505</v>
      </c>
      <c r="D235" s="10" t="s">
        <v>60</v>
      </c>
      <c r="E235" s="11">
        <f t="shared" si="7"/>
        <v>21.3935</v>
      </c>
      <c r="F235" s="12">
        <f t="shared" si="8"/>
        <v>28.9881925</v>
      </c>
      <c r="G235" s="13" t="s">
        <v>506</v>
      </c>
    </row>
    <row r="236" spans="1:7" x14ac:dyDescent="0.35">
      <c r="A236" s="9" t="s">
        <v>507</v>
      </c>
      <c r="D236" s="10" t="s">
        <v>13</v>
      </c>
      <c r="E236" s="11">
        <f t="shared" si="7"/>
        <v>10.845000000000001</v>
      </c>
      <c r="F236" s="12">
        <f t="shared" si="8"/>
        <v>14.694975000000001</v>
      </c>
      <c r="G236" s="13" t="s">
        <v>508</v>
      </c>
    </row>
    <row r="237" spans="1:7" x14ac:dyDescent="0.35">
      <c r="A237" s="9" t="s">
        <v>509</v>
      </c>
      <c r="D237" s="10" t="s">
        <v>51</v>
      </c>
      <c r="E237" s="11">
        <f t="shared" si="7"/>
        <v>21.25</v>
      </c>
      <c r="F237" s="12">
        <f t="shared" si="8"/>
        <v>28.793749999999999</v>
      </c>
      <c r="G237" s="13" t="s">
        <v>510</v>
      </c>
    </row>
    <row r="238" spans="1:7" x14ac:dyDescent="0.35">
      <c r="A238" s="9" t="s">
        <v>511</v>
      </c>
      <c r="D238" s="10" t="s">
        <v>154</v>
      </c>
      <c r="E238" s="11">
        <f t="shared" si="7"/>
        <v>7.9266666666666667</v>
      </c>
      <c r="F238" s="12">
        <f t="shared" si="8"/>
        <v>10.740633333333333</v>
      </c>
      <c r="G238" s="13" t="s">
        <v>512</v>
      </c>
    </row>
    <row r="239" spans="1:7" x14ac:dyDescent="0.35">
      <c r="A239" s="9" t="s">
        <v>513</v>
      </c>
      <c r="D239" s="10" t="s">
        <v>514</v>
      </c>
      <c r="E239" s="11">
        <f t="shared" si="7"/>
        <v>6.8465853658536577</v>
      </c>
      <c r="F239" s="12">
        <f t="shared" si="8"/>
        <v>9.2771231707317057</v>
      </c>
      <c r="G239" s="13" t="s">
        <v>515</v>
      </c>
    </row>
    <row r="240" spans="1:7" x14ac:dyDescent="0.35">
      <c r="A240" s="9" t="s">
        <v>516</v>
      </c>
      <c r="D240" s="10" t="s">
        <v>154</v>
      </c>
      <c r="E240" s="11">
        <f t="shared" si="7"/>
        <v>35.979999999999997</v>
      </c>
      <c r="F240" s="12">
        <f t="shared" si="8"/>
        <v>48.752899999999997</v>
      </c>
      <c r="G240" s="13" t="s">
        <v>517</v>
      </c>
    </row>
    <row r="241" spans="1:7" x14ac:dyDescent="0.35">
      <c r="A241" s="9" t="s">
        <v>518</v>
      </c>
      <c r="D241" s="10" t="s">
        <v>54</v>
      </c>
      <c r="E241" s="11">
        <f t="shared" si="7"/>
        <v>16.25</v>
      </c>
      <c r="F241" s="12">
        <f t="shared" si="8"/>
        <v>22.018750000000001</v>
      </c>
      <c r="G241" s="13" t="s">
        <v>519</v>
      </c>
    </row>
    <row r="242" spans="1:7" x14ac:dyDescent="0.35">
      <c r="A242" s="9" t="s">
        <v>520</v>
      </c>
      <c r="D242" s="10" t="s">
        <v>106</v>
      </c>
      <c r="E242" s="11">
        <f t="shared" si="7"/>
        <v>20.01125</v>
      </c>
      <c r="F242" s="12">
        <f t="shared" si="8"/>
        <v>27.115243750000001</v>
      </c>
      <c r="G242" s="13" t="s">
        <v>521</v>
      </c>
    </row>
    <row r="243" spans="1:7" x14ac:dyDescent="0.35">
      <c r="A243" s="9" t="s">
        <v>522</v>
      </c>
      <c r="D243" s="10" t="s">
        <v>523</v>
      </c>
      <c r="E243" s="11">
        <f t="shared" si="7"/>
        <v>5.8738461538461539</v>
      </c>
      <c r="F243" s="12">
        <f t="shared" si="8"/>
        <v>7.9590615384615386</v>
      </c>
      <c r="G243" s="13" t="s">
        <v>524</v>
      </c>
    </row>
    <row r="244" spans="1:7" x14ac:dyDescent="0.35">
      <c r="A244" s="9" t="s">
        <v>525</v>
      </c>
      <c r="D244" s="10" t="s">
        <v>118</v>
      </c>
      <c r="E244" s="11">
        <f t="shared" si="7"/>
        <v>15.100000000000001</v>
      </c>
      <c r="F244" s="12">
        <f t="shared" si="8"/>
        <v>20.460500000000003</v>
      </c>
      <c r="G244" s="13" t="s">
        <v>526</v>
      </c>
    </row>
    <row r="245" spans="1:7" x14ac:dyDescent="0.35">
      <c r="A245" s="9" t="s">
        <v>527</v>
      </c>
      <c r="D245" s="10" t="s">
        <v>106</v>
      </c>
      <c r="E245" s="11">
        <f t="shared" si="7"/>
        <v>16.45</v>
      </c>
      <c r="F245" s="12">
        <f t="shared" si="8"/>
        <v>22.289749999999998</v>
      </c>
      <c r="G245" s="13" t="s">
        <v>528</v>
      </c>
    </row>
    <row r="246" spans="1:7" x14ac:dyDescent="0.35">
      <c r="A246" s="9" t="s">
        <v>529</v>
      </c>
      <c r="D246" s="10" t="s">
        <v>10</v>
      </c>
      <c r="E246" s="11">
        <f t="shared" si="7"/>
        <v>28.189</v>
      </c>
      <c r="F246" s="12">
        <f t="shared" si="8"/>
        <v>38.196095</v>
      </c>
      <c r="G246" s="13" t="s">
        <v>530</v>
      </c>
    </row>
    <row r="247" spans="1:7" x14ac:dyDescent="0.35">
      <c r="A247" s="9" t="s">
        <v>531</v>
      </c>
      <c r="D247" s="10" t="s">
        <v>69</v>
      </c>
      <c r="E247" s="11">
        <f t="shared" si="7"/>
        <v>18.888333333333332</v>
      </c>
      <c r="F247" s="12">
        <f t="shared" si="8"/>
        <v>25.593691666666665</v>
      </c>
      <c r="G247" s="13" t="s">
        <v>532</v>
      </c>
    </row>
    <row r="248" spans="1:7" x14ac:dyDescent="0.35">
      <c r="A248" s="9" t="s">
        <v>533</v>
      </c>
      <c r="D248" s="10" t="s">
        <v>124</v>
      </c>
      <c r="E248" s="11">
        <f t="shared" si="7"/>
        <v>16.966111111111111</v>
      </c>
      <c r="F248" s="12">
        <f t="shared" si="8"/>
        <v>22.989080555555557</v>
      </c>
      <c r="G248" s="13" t="s">
        <v>534</v>
      </c>
    </row>
    <row r="249" spans="1:7" x14ac:dyDescent="0.35">
      <c r="A249" s="9" t="s">
        <v>535</v>
      </c>
      <c r="D249" s="10" t="s">
        <v>100</v>
      </c>
      <c r="E249" s="11">
        <f t="shared" si="7"/>
        <v>14.6</v>
      </c>
      <c r="F249" s="12">
        <f t="shared" si="8"/>
        <v>19.783000000000001</v>
      </c>
      <c r="G249" s="13" t="s">
        <v>536</v>
      </c>
    </row>
    <row r="250" spans="1:7" x14ac:dyDescent="0.35">
      <c r="A250" s="9" t="s">
        <v>537</v>
      </c>
      <c r="D250" s="10" t="s">
        <v>523</v>
      </c>
      <c r="E250" s="11">
        <f t="shared" si="7"/>
        <v>28.328461538461536</v>
      </c>
      <c r="F250" s="12">
        <f t="shared" si="8"/>
        <v>38.38506538461538</v>
      </c>
      <c r="G250" s="13" t="s">
        <v>538</v>
      </c>
    </row>
    <row r="251" spans="1:7" x14ac:dyDescent="0.35">
      <c r="A251" s="9" t="s">
        <v>539</v>
      </c>
      <c r="D251" s="10" t="s">
        <v>194</v>
      </c>
      <c r="E251" s="11">
        <f t="shared" si="7"/>
        <v>17.5</v>
      </c>
      <c r="F251" s="12">
        <f t="shared" si="8"/>
        <v>23.712499999999999</v>
      </c>
      <c r="G251" s="13" t="s">
        <v>540</v>
      </c>
    </row>
    <row r="252" spans="1:7" x14ac:dyDescent="0.35">
      <c r="A252" s="9" t="s">
        <v>541</v>
      </c>
      <c r="D252" s="10" t="s">
        <v>100</v>
      </c>
      <c r="E252" s="11">
        <f t="shared" si="7"/>
        <v>57.75</v>
      </c>
      <c r="F252" s="12">
        <f t="shared" si="8"/>
        <v>78.251249999999999</v>
      </c>
      <c r="G252" s="13" t="s">
        <v>542</v>
      </c>
    </row>
    <row r="253" spans="1:7" x14ac:dyDescent="0.35">
      <c r="A253" s="9" t="s">
        <v>543</v>
      </c>
      <c r="D253" s="10" t="s">
        <v>225</v>
      </c>
      <c r="E253" s="11">
        <f t="shared" si="7"/>
        <v>9.7113157894736837</v>
      </c>
      <c r="F253" s="12">
        <f t="shared" si="8"/>
        <v>13.158832894736841</v>
      </c>
      <c r="G253" s="13" t="s">
        <v>544</v>
      </c>
    </row>
    <row r="254" spans="1:7" x14ac:dyDescent="0.35">
      <c r="A254" s="9" t="s">
        <v>545</v>
      </c>
      <c r="D254" s="10" t="s">
        <v>24</v>
      </c>
      <c r="E254" s="11">
        <f t="shared" si="7"/>
        <v>7.6849999999999996</v>
      </c>
      <c r="F254" s="12">
        <f t="shared" si="8"/>
        <v>10.413174999999999</v>
      </c>
      <c r="G254" s="13" t="s">
        <v>546</v>
      </c>
    </row>
    <row r="255" spans="1:7" x14ac:dyDescent="0.35">
      <c r="A255" s="9" t="s">
        <v>547</v>
      </c>
      <c r="D255" s="10" t="s">
        <v>179</v>
      </c>
      <c r="E255" s="11">
        <f t="shared" si="7"/>
        <v>0.99253521126760558</v>
      </c>
      <c r="F255" s="12">
        <f t="shared" si="8"/>
        <v>1.3448852112676055</v>
      </c>
      <c r="G255" s="13" t="s">
        <v>548</v>
      </c>
    </row>
    <row r="256" spans="1:7" x14ac:dyDescent="0.35">
      <c r="A256" s="9" t="s">
        <v>549</v>
      </c>
      <c r="D256" s="10" t="s">
        <v>498</v>
      </c>
      <c r="E256" s="11">
        <f t="shared" si="7"/>
        <v>5.27</v>
      </c>
      <c r="F256" s="12">
        <f t="shared" si="8"/>
        <v>7.1408499999999995</v>
      </c>
      <c r="G256" s="13" t="s">
        <v>550</v>
      </c>
    </row>
    <row r="257" spans="1:7" x14ac:dyDescent="0.35">
      <c r="A257" s="9" t="s">
        <v>551</v>
      </c>
      <c r="D257" s="10" t="s">
        <v>112</v>
      </c>
      <c r="E257" s="11">
        <f t="shared" si="7"/>
        <v>7.5082608695652171</v>
      </c>
      <c r="F257" s="12">
        <f t="shared" si="8"/>
        <v>10.173693478260869</v>
      </c>
      <c r="G257" s="13" t="s">
        <v>552</v>
      </c>
    </row>
    <row r="258" spans="1:7" x14ac:dyDescent="0.35">
      <c r="A258" s="9" t="s">
        <v>553</v>
      </c>
      <c r="D258" s="10" t="s">
        <v>27</v>
      </c>
      <c r="E258" s="11">
        <f t="shared" si="7"/>
        <v>16.5</v>
      </c>
      <c r="F258" s="12">
        <f t="shared" si="8"/>
        <v>22.357500000000002</v>
      </c>
      <c r="G258" s="13" t="s">
        <v>175</v>
      </c>
    </row>
    <row r="259" spans="1:7" x14ac:dyDescent="0.35">
      <c r="A259" s="9" t="s">
        <v>554</v>
      </c>
      <c r="D259" s="10" t="s">
        <v>139</v>
      </c>
      <c r="E259" s="11">
        <f t="shared" ref="E259:E322" si="9">G259/D259</f>
        <v>105.45599999999999</v>
      </c>
      <c r="F259" s="12">
        <f t="shared" si="8"/>
        <v>142.89287999999999</v>
      </c>
      <c r="G259" s="13" t="s">
        <v>555</v>
      </c>
    </row>
    <row r="260" spans="1:7" x14ac:dyDescent="0.35">
      <c r="A260" s="9" t="s">
        <v>556</v>
      </c>
      <c r="D260" s="10" t="s">
        <v>360</v>
      </c>
      <c r="E260" s="11">
        <f t="shared" si="9"/>
        <v>13.799999999999999</v>
      </c>
      <c r="F260" s="12">
        <f t="shared" si="8"/>
        <v>18.698999999999998</v>
      </c>
      <c r="G260" s="13" t="s">
        <v>557</v>
      </c>
    </row>
    <row r="261" spans="1:7" x14ac:dyDescent="0.35">
      <c r="A261" s="9" t="s">
        <v>558</v>
      </c>
      <c r="D261" s="10" t="s">
        <v>374</v>
      </c>
      <c r="E261" s="11">
        <f t="shared" si="9"/>
        <v>31.566666666666666</v>
      </c>
      <c r="F261" s="12">
        <f t="shared" si="8"/>
        <v>42.772833333333331</v>
      </c>
      <c r="G261" s="13" t="s">
        <v>559</v>
      </c>
    </row>
    <row r="262" spans="1:7" x14ac:dyDescent="0.35">
      <c r="A262" s="9" t="s">
        <v>560</v>
      </c>
      <c r="D262" s="10" t="s">
        <v>24</v>
      </c>
      <c r="E262" s="11">
        <f t="shared" si="9"/>
        <v>3.42</v>
      </c>
      <c r="F262" s="12">
        <f t="shared" si="8"/>
        <v>4.6341000000000001</v>
      </c>
      <c r="G262" s="13" t="s">
        <v>561</v>
      </c>
    </row>
    <row r="263" spans="1:7" x14ac:dyDescent="0.35">
      <c r="A263" s="9" t="s">
        <v>562</v>
      </c>
      <c r="D263" s="10" t="s">
        <v>360</v>
      </c>
      <c r="E263" s="11">
        <f t="shared" si="9"/>
        <v>5.2935294117647054</v>
      </c>
      <c r="F263" s="12">
        <f t="shared" si="8"/>
        <v>7.1727323529411757</v>
      </c>
      <c r="G263" s="13" t="s">
        <v>563</v>
      </c>
    </row>
    <row r="264" spans="1:7" x14ac:dyDescent="0.35">
      <c r="A264" s="9" t="s">
        <v>564</v>
      </c>
      <c r="D264" s="10" t="s">
        <v>565</v>
      </c>
      <c r="E264" s="11">
        <f t="shared" si="9"/>
        <v>4.2839393939393942</v>
      </c>
      <c r="F264" s="12">
        <f t="shared" si="8"/>
        <v>5.8047378787878792</v>
      </c>
      <c r="G264" s="13" t="s">
        <v>566</v>
      </c>
    </row>
    <row r="265" spans="1:7" x14ac:dyDescent="0.35">
      <c r="A265" s="9" t="s">
        <v>567</v>
      </c>
      <c r="D265" s="10" t="s">
        <v>24</v>
      </c>
      <c r="E265" s="11">
        <f t="shared" si="9"/>
        <v>3.4049999999999998</v>
      </c>
      <c r="F265" s="12">
        <f t="shared" si="8"/>
        <v>4.6137749999999995</v>
      </c>
      <c r="G265" s="13" t="s">
        <v>568</v>
      </c>
    </row>
    <row r="266" spans="1:7" x14ac:dyDescent="0.35">
      <c r="A266" s="9" t="s">
        <v>569</v>
      </c>
      <c r="D266" s="10" t="s">
        <v>194</v>
      </c>
      <c r="E266" s="11">
        <f t="shared" si="9"/>
        <v>18.344285714285714</v>
      </c>
      <c r="F266" s="12">
        <f t="shared" si="8"/>
        <v>24.856507142857144</v>
      </c>
      <c r="G266" s="13" t="s">
        <v>570</v>
      </c>
    </row>
    <row r="267" spans="1:7" x14ac:dyDescent="0.35">
      <c r="A267" s="9" t="s">
        <v>571</v>
      </c>
      <c r="D267" s="10" t="s">
        <v>24</v>
      </c>
      <c r="E267" s="11">
        <f t="shared" si="9"/>
        <v>3.5</v>
      </c>
      <c r="F267" s="12">
        <f t="shared" si="8"/>
        <v>4.7424999999999997</v>
      </c>
      <c r="G267" s="13" t="s">
        <v>572</v>
      </c>
    </row>
    <row r="268" spans="1:7" x14ac:dyDescent="0.35">
      <c r="A268" s="9" t="s">
        <v>573</v>
      </c>
      <c r="D268" s="10" t="s">
        <v>27</v>
      </c>
      <c r="E268" s="11">
        <f t="shared" si="9"/>
        <v>33.454999999999998</v>
      </c>
      <c r="F268" s="12">
        <f t="shared" si="8"/>
        <v>45.331524999999999</v>
      </c>
      <c r="G268" s="13" t="s">
        <v>574</v>
      </c>
    </row>
    <row r="269" spans="1:7" x14ac:dyDescent="0.35">
      <c r="A269" s="9" t="s">
        <v>575</v>
      </c>
      <c r="D269" s="10" t="s">
        <v>51</v>
      </c>
      <c r="E269" s="11">
        <f t="shared" si="9"/>
        <v>95.89</v>
      </c>
      <c r="F269" s="12">
        <f t="shared" si="8"/>
        <v>129.93095</v>
      </c>
      <c r="G269" s="13" t="s">
        <v>576</v>
      </c>
    </row>
    <row r="270" spans="1:7" x14ac:dyDescent="0.35">
      <c r="A270" s="9" t="s">
        <v>577</v>
      </c>
      <c r="D270" s="10" t="s">
        <v>24</v>
      </c>
      <c r="E270" s="11">
        <f t="shared" si="9"/>
        <v>93.545000000000002</v>
      </c>
      <c r="F270" s="12">
        <f t="shared" ref="F270:F333" si="10">35.5/100*E270+E270</f>
        <v>126.75347500000001</v>
      </c>
      <c r="G270" s="13" t="s">
        <v>578</v>
      </c>
    </row>
    <row r="271" spans="1:7" x14ac:dyDescent="0.35">
      <c r="A271" s="9" t="s">
        <v>579</v>
      </c>
      <c r="D271" s="10" t="s">
        <v>106</v>
      </c>
      <c r="E271" s="11">
        <f t="shared" si="9"/>
        <v>30.428750000000001</v>
      </c>
      <c r="F271" s="12">
        <f t="shared" si="10"/>
        <v>41.230956249999998</v>
      </c>
      <c r="G271" s="13" t="s">
        <v>580</v>
      </c>
    </row>
    <row r="272" spans="1:7" x14ac:dyDescent="0.35">
      <c r="A272" s="9" t="s">
        <v>581</v>
      </c>
      <c r="D272" s="10" t="s">
        <v>36</v>
      </c>
      <c r="E272" s="11">
        <f t="shared" si="9"/>
        <v>7.4610526315789469</v>
      </c>
      <c r="F272" s="12">
        <f t="shared" si="10"/>
        <v>10.109726315789473</v>
      </c>
      <c r="G272" s="13" t="s">
        <v>582</v>
      </c>
    </row>
    <row r="273" spans="1:7" x14ac:dyDescent="0.35">
      <c r="A273" s="9" t="s">
        <v>583</v>
      </c>
      <c r="D273" s="10" t="s">
        <v>24</v>
      </c>
      <c r="E273" s="11">
        <f t="shared" si="9"/>
        <v>33.555</v>
      </c>
      <c r="F273" s="12">
        <f t="shared" si="10"/>
        <v>45.467025</v>
      </c>
      <c r="G273" s="13" t="s">
        <v>584</v>
      </c>
    </row>
    <row r="274" spans="1:7" x14ac:dyDescent="0.35">
      <c r="A274" s="9" t="s">
        <v>585</v>
      </c>
      <c r="D274" s="10" t="s">
        <v>24</v>
      </c>
      <c r="E274" s="11">
        <f t="shared" si="9"/>
        <v>121.58</v>
      </c>
      <c r="F274" s="12">
        <f t="shared" si="10"/>
        <v>164.74090000000001</v>
      </c>
      <c r="G274" s="13" t="s">
        <v>586</v>
      </c>
    </row>
    <row r="275" spans="1:7" x14ac:dyDescent="0.35">
      <c r="A275" s="9" t="s">
        <v>587</v>
      </c>
      <c r="D275" s="10" t="s">
        <v>194</v>
      </c>
      <c r="E275" s="11">
        <f t="shared" si="9"/>
        <v>128.8642857142857</v>
      </c>
      <c r="F275" s="12">
        <f t="shared" si="10"/>
        <v>174.61110714285712</v>
      </c>
      <c r="G275" s="13" t="s">
        <v>588</v>
      </c>
    </row>
    <row r="276" spans="1:7" x14ac:dyDescent="0.35">
      <c r="A276" s="9" t="s">
        <v>589</v>
      </c>
      <c r="D276" s="10" t="s">
        <v>24</v>
      </c>
      <c r="E276" s="11">
        <f t="shared" si="9"/>
        <v>60</v>
      </c>
      <c r="F276" s="12">
        <f t="shared" si="10"/>
        <v>81.3</v>
      </c>
      <c r="G276" s="13" t="s">
        <v>245</v>
      </c>
    </row>
    <row r="277" spans="1:7" x14ac:dyDescent="0.35">
      <c r="A277" s="9" t="s">
        <v>590</v>
      </c>
      <c r="D277" s="10" t="s">
        <v>154</v>
      </c>
      <c r="E277" s="11">
        <f t="shared" si="9"/>
        <v>47.5</v>
      </c>
      <c r="F277" s="12">
        <f t="shared" si="10"/>
        <v>64.362499999999997</v>
      </c>
      <c r="G277" s="13" t="s">
        <v>591</v>
      </c>
    </row>
    <row r="278" spans="1:7" x14ac:dyDescent="0.35">
      <c r="A278" s="9" t="s">
        <v>592</v>
      </c>
      <c r="D278" s="10" t="s">
        <v>106</v>
      </c>
      <c r="E278" s="11">
        <f t="shared" si="9"/>
        <v>15.38</v>
      </c>
      <c r="F278" s="12">
        <f t="shared" si="10"/>
        <v>20.8399</v>
      </c>
      <c r="G278" s="13" t="s">
        <v>593</v>
      </c>
    </row>
    <row r="279" spans="1:7" x14ac:dyDescent="0.35">
      <c r="A279" s="9" t="s">
        <v>594</v>
      </c>
      <c r="D279" s="10" t="s">
        <v>24</v>
      </c>
      <c r="E279" s="11">
        <f t="shared" si="9"/>
        <v>130</v>
      </c>
      <c r="F279" s="12">
        <f t="shared" si="10"/>
        <v>176.15</v>
      </c>
      <c r="G279" s="13" t="s">
        <v>595</v>
      </c>
    </row>
    <row r="280" spans="1:7" x14ac:dyDescent="0.35">
      <c r="A280" s="9" t="s">
        <v>596</v>
      </c>
      <c r="D280" s="10" t="s">
        <v>139</v>
      </c>
      <c r="E280" s="11">
        <f t="shared" si="9"/>
        <v>65</v>
      </c>
      <c r="F280" s="12">
        <f t="shared" si="10"/>
        <v>88.075000000000003</v>
      </c>
      <c r="G280" s="13" t="s">
        <v>252</v>
      </c>
    </row>
    <row r="281" spans="1:7" x14ac:dyDescent="0.35">
      <c r="A281" s="9" t="s">
        <v>597</v>
      </c>
      <c r="D281" s="10" t="s">
        <v>598</v>
      </c>
      <c r="E281" s="11">
        <f t="shared" si="9"/>
        <v>4.8044067796610168</v>
      </c>
      <c r="F281" s="12">
        <f t="shared" si="10"/>
        <v>6.5099711864406782</v>
      </c>
      <c r="G281" s="13" t="s">
        <v>599</v>
      </c>
    </row>
    <row r="282" spans="1:7" x14ac:dyDescent="0.35">
      <c r="A282" s="9" t="s">
        <v>600</v>
      </c>
      <c r="D282" s="10" t="s">
        <v>51</v>
      </c>
      <c r="E282" s="11">
        <f t="shared" si="9"/>
        <v>75</v>
      </c>
      <c r="F282" s="12">
        <f t="shared" si="10"/>
        <v>101.625</v>
      </c>
      <c r="G282" s="13" t="s">
        <v>601</v>
      </c>
    </row>
    <row r="283" spans="1:7" x14ac:dyDescent="0.35">
      <c r="A283" s="9" t="s">
        <v>602</v>
      </c>
      <c r="D283" s="10" t="s">
        <v>27</v>
      </c>
      <c r="E283" s="11">
        <f t="shared" si="9"/>
        <v>105.55500000000001</v>
      </c>
      <c r="F283" s="12">
        <f t="shared" si="10"/>
        <v>143.02702500000001</v>
      </c>
      <c r="G283" s="13" t="s">
        <v>603</v>
      </c>
    </row>
    <row r="284" spans="1:7" x14ac:dyDescent="0.35">
      <c r="A284" s="9" t="s">
        <v>604</v>
      </c>
      <c r="D284" s="10" t="s">
        <v>154</v>
      </c>
      <c r="E284" s="11">
        <f t="shared" si="9"/>
        <v>108.57</v>
      </c>
      <c r="F284" s="12">
        <f t="shared" si="10"/>
        <v>147.11234999999999</v>
      </c>
      <c r="G284" s="13" t="s">
        <v>605</v>
      </c>
    </row>
    <row r="285" spans="1:7" x14ac:dyDescent="0.35">
      <c r="A285" s="9" t="s">
        <v>606</v>
      </c>
      <c r="D285" s="10" t="s">
        <v>24</v>
      </c>
      <c r="E285" s="11">
        <f t="shared" si="9"/>
        <v>340</v>
      </c>
      <c r="F285" s="12">
        <f t="shared" si="10"/>
        <v>460.7</v>
      </c>
      <c r="G285" s="13" t="s">
        <v>607</v>
      </c>
    </row>
    <row r="286" spans="1:7" x14ac:dyDescent="0.35">
      <c r="A286" s="9" t="s">
        <v>608</v>
      </c>
      <c r="D286" s="10" t="s">
        <v>51</v>
      </c>
      <c r="E286" s="11">
        <f t="shared" si="9"/>
        <v>250</v>
      </c>
      <c r="F286" s="12">
        <f t="shared" si="10"/>
        <v>338.75</v>
      </c>
      <c r="G286" s="13" t="s">
        <v>89</v>
      </c>
    </row>
    <row r="287" spans="1:7" x14ac:dyDescent="0.35">
      <c r="A287" s="9" t="s">
        <v>609</v>
      </c>
      <c r="D287" s="10" t="s">
        <v>139</v>
      </c>
      <c r="E287" s="11">
        <f t="shared" si="9"/>
        <v>115</v>
      </c>
      <c r="F287" s="12">
        <f t="shared" si="10"/>
        <v>155.82499999999999</v>
      </c>
      <c r="G287" s="13" t="s">
        <v>610</v>
      </c>
    </row>
    <row r="288" spans="1:7" x14ac:dyDescent="0.35">
      <c r="A288" s="9" t="s">
        <v>611</v>
      </c>
      <c r="D288" s="10" t="s">
        <v>106</v>
      </c>
      <c r="E288" s="11">
        <f t="shared" si="9"/>
        <v>95</v>
      </c>
      <c r="F288" s="12">
        <f t="shared" si="10"/>
        <v>128.72499999999999</v>
      </c>
      <c r="G288" s="13" t="s">
        <v>612</v>
      </c>
    </row>
    <row r="289" spans="1:7" x14ac:dyDescent="0.35">
      <c r="A289" s="9" t="s">
        <v>613</v>
      </c>
      <c r="D289" s="10" t="s">
        <v>374</v>
      </c>
      <c r="E289" s="11">
        <f t="shared" si="9"/>
        <v>120</v>
      </c>
      <c r="F289" s="12">
        <f t="shared" si="10"/>
        <v>162.6</v>
      </c>
      <c r="G289" s="13" t="s">
        <v>614</v>
      </c>
    </row>
    <row r="290" spans="1:7" x14ac:dyDescent="0.35">
      <c r="A290" s="9" t="s">
        <v>615</v>
      </c>
      <c r="D290" s="10" t="s">
        <v>57</v>
      </c>
      <c r="E290" s="11">
        <f t="shared" si="9"/>
        <v>16</v>
      </c>
      <c r="F290" s="12">
        <f t="shared" si="10"/>
        <v>21.68</v>
      </c>
      <c r="G290" s="13" t="s">
        <v>616</v>
      </c>
    </row>
    <row r="291" spans="1:7" x14ac:dyDescent="0.35">
      <c r="A291" s="9" t="s">
        <v>617</v>
      </c>
      <c r="D291" s="10" t="s">
        <v>618</v>
      </c>
      <c r="E291" s="11">
        <f t="shared" si="9"/>
        <v>3.4915789473684211</v>
      </c>
      <c r="F291" s="12">
        <f t="shared" si="10"/>
        <v>4.7310894736842108</v>
      </c>
      <c r="G291" s="13" t="s">
        <v>619</v>
      </c>
    </row>
    <row r="292" spans="1:7" x14ac:dyDescent="0.35">
      <c r="A292" s="9" t="s">
        <v>620</v>
      </c>
      <c r="D292" s="10" t="s">
        <v>106</v>
      </c>
      <c r="E292" s="11">
        <f t="shared" si="9"/>
        <v>18.642499999999998</v>
      </c>
      <c r="F292" s="12">
        <f t="shared" si="10"/>
        <v>25.260587499999996</v>
      </c>
      <c r="G292" s="13" t="s">
        <v>621</v>
      </c>
    </row>
    <row r="293" spans="1:7" x14ac:dyDescent="0.35">
      <c r="A293" s="9" t="s">
        <v>276</v>
      </c>
      <c r="D293" s="10" t="s">
        <v>51</v>
      </c>
      <c r="E293" s="11">
        <f t="shared" si="9"/>
        <v>80</v>
      </c>
      <c r="F293" s="12">
        <f t="shared" si="10"/>
        <v>108.4</v>
      </c>
      <c r="G293" s="13" t="s">
        <v>622</v>
      </c>
    </row>
    <row r="294" spans="1:7" x14ac:dyDescent="0.35">
      <c r="A294" s="9" t="s">
        <v>623</v>
      </c>
      <c r="D294" s="10" t="s">
        <v>624</v>
      </c>
      <c r="E294" s="11">
        <f t="shared" si="9"/>
        <v>0.26750000000000002</v>
      </c>
      <c r="F294" s="12">
        <f t="shared" si="10"/>
        <v>0.36246250000000002</v>
      </c>
      <c r="G294" s="13" t="s">
        <v>625</v>
      </c>
    </row>
    <row r="295" spans="1:7" x14ac:dyDescent="0.35">
      <c r="A295" s="9" t="s">
        <v>626</v>
      </c>
      <c r="D295" s="10" t="s">
        <v>24</v>
      </c>
      <c r="E295" s="11">
        <f t="shared" si="9"/>
        <v>100</v>
      </c>
      <c r="F295" s="12">
        <f t="shared" si="10"/>
        <v>135.5</v>
      </c>
      <c r="G295" s="13" t="s">
        <v>78</v>
      </c>
    </row>
    <row r="296" spans="1:7" x14ac:dyDescent="0.35">
      <c r="A296" s="9" t="s">
        <v>627</v>
      </c>
      <c r="D296" s="10" t="s">
        <v>194</v>
      </c>
      <c r="E296" s="11">
        <f t="shared" si="9"/>
        <v>7.2</v>
      </c>
      <c r="F296" s="12">
        <f t="shared" si="10"/>
        <v>9.7560000000000002</v>
      </c>
      <c r="G296" s="13" t="s">
        <v>628</v>
      </c>
    </row>
    <row r="297" spans="1:7" x14ac:dyDescent="0.35">
      <c r="A297" s="9" t="s">
        <v>629</v>
      </c>
      <c r="D297" s="10" t="s">
        <v>51</v>
      </c>
      <c r="E297" s="11">
        <f t="shared" si="9"/>
        <v>8</v>
      </c>
      <c r="F297" s="12">
        <f t="shared" si="10"/>
        <v>10.84</v>
      </c>
      <c r="G297" s="13" t="s">
        <v>630</v>
      </c>
    </row>
    <row r="298" spans="1:7" x14ac:dyDescent="0.35">
      <c r="A298" s="9" t="s">
        <v>631</v>
      </c>
      <c r="D298" s="10" t="s">
        <v>30</v>
      </c>
      <c r="E298" s="11">
        <f t="shared" si="9"/>
        <v>8</v>
      </c>
      <c r="F298" s="12">
        <f t="shared" si="10"/>
        <v>10.84</v>
      </c>
      <c r="G298" s="13" t="s">
        <v>616</v>
      </c>
    </row>
    <row r="299" spans="1:7" x14ac:dyDescent="0.35">
      <c r="A299" s="9" t="s">
        <v>632</v>
      </c>
      <c r="D299" s="10" t="s">
        <v>27</v>
      </c>
      <c r="E299" s="11">
        <f t="shared" si="9"/>
        <v>17.6675</v>
      </c>
      <c r="F299" s="12">
        <f t="shared" si="10"/>
        <v>23.939462500000001</v>
      </c>
      <c r="G299" s="13" t="s">
        <v>633</v>
      </c>
    </row>
    <row r="300" spans="1:7" x14ac:dyDescent="0.35">
      <c r="A300" s="9" t="s">
        <v>634</v>
      </c>
      <c r="D300" s="10" t="s">
        <v>13</v>
      </c>
      <c r="E300" s="11">
        <f t="shared" si="9"/>
        <v>5.9112499999999999</v>
      </c>
      <c r="F300" s="12">
        <f t="shared" si="10"/>
        <v>8.0097437500000002</v>
      </c>
      <c r="G300" s="13" t="s">
        <v>635</v>
      </c>
    </row>
    <row r="301" spans="1:7" x14ac:dyDescent="0.35">
      <c r="A301" s="9" t="s">
        <v>636</v>
      </c>
      <c r="D301" s="10" t="s">
        <v>13</v>
      </c>
      <c r="E301" s="11">
        <f t="shared" si="9"/>
        <v>14.37125</v>
      </c>
      <c r="F301" s="12">
        <f t="shared" si="10"/>
        <v>19.473043749999999</v>
      </c>
      <c r="G301" s="13" t="s">
        <v>637</v>
      </c>
    </row>
    <row r="302" spans="1:7" x14ac:dyDescent="0.35">
      <c r="A302" s="9" t="s">
        <v>638</v>
      </c>
      <c r="D302" s="10" t="s">
        <v>57</v>
      </c>
      <c r="E302" s="11">
        <f t="shared" si="9"/>
        <v>8.1921428571428567</v>
      </c>
      <c r="F302" s="12">
        <f t="shared" si="10"/>
        <v>11.10035357142857</v>
      </c>
      <c r="G302" s="13" t="s">
        <v>639</v>
      </c>
    </row>
    <row r="303" spans="1:7" x14ac:dyDescent="0.35">
      <c r="A303" s="9" t="s">
        <v>640</v>
      </c>
      <c r="D303" s="10" t="s">
        <v>10</v>
      </c>
      <c r="E303" s="11">
        <f t="shared" si="9"/>
        <v>20.097000000000001</v>
      </c>
      <c r="F303" s="12">
        <f t="shared" si="10"/>
        <v>27.231435000000001</v>
      </c>
      <c r="G303" s="13" t="s">
        <v>641</v>
      </c>
    </row>
    <row r="304" spans="1:7" x14ac:dyDescent="0.35">
      <c r="A304" s="9" t="s">
        <v>642</v>
      </c>
      <c r="D304" s="10" t="s">
        <v>24</v>
      </c>
      <c r="E304" s="11">
        <f t="shared" si="9"/>
        <v>13.45</v>
      </c>
      <c r="F304" s="12">
        <f t="shared" si="10"/>
        <v>18.22475</v>
      </c>
      <c r="G304" s="13" t="s">
        <v>643</v>
      </c>
    </row>
    <row r="305" spans="1:7" x14ac:dyDescent="0.35">
      <c r="A305" s="9" t="s">
        <v>644</v>
      </c>
      <c r="D305" s="10" t="s">
        <v>51</v>
      </c>
      <c r="E305" s="11">
        <f t="shared" si="9"/>
        <v>40</v>
      </c>
      <c r="F305" s="12">
        <f t="shared" si="10"/>
        <v>54.2</v>
      </c>
      <c r="G305" s="13" t="s">
        <v>107</v>
      </c>
    </row>
    <row r="306" spans="1:7" x14ac:dyDescent="0.35">
      <c r="A306" s="9" t="s">
        <v>645</v>
      </c>
      <c r="D306" s="10" t="s">
        <v>24</v>
      </c>
      <c r="E306" s="11">
        <f t="shared" si="9"/>
        <v>30</v>
      </c>
      <c r="F306" s="12">
        <f t="shared" si="10"/>
        <v>40.65</v>
      </c>
      <c r="G306" s="13" t="s">
        <v>646</v>
      </c>
    </row>
    <row r="307" spans="1:7" x14ac:dyDescent="0.35">
      <c r="A307" s="9" t="s">
        <v>647</v>
      </c>
      <c r="D307" s="10" t="s">
        <v>648</v>
      </c>
      <c r="E307" s="11">
        <f t="shared" si="9"/>
        <v>19.995999999999999</v>
      </c>
      <c r="F307" s="12">
        <f t="shared" si="10"/>
        <v>27.094579999999997</v>
      </c>
      <c r="G307" s="13" t="s">
        <v>649</v>
      </c>
    </row>
    <row r="308" spans="1:7" x14ac:dyDescent="0.35">
      <c r="A308" s="9" t="s">
        <v>650</v>
      </c>
      <c r="D308" s="10" t="s">
        <v>134</v>
      </c>
      <c r="E308" s="11">
        <f t="shared" si="9"/>
        <v>17.322083333333335</v>
      </c>
      <c r="F308" s="12">
        <f t="shared" si="10"/>
        <v>23.471422916666668</v>
      </c>
      <c r="G308" s="13" t="s">
        <v>651</v>
      </c>
    </row>
    <row r="309" spans="1:7" x14ac:dyDescent="0.35">
      <c r="A309" s="9" t="s">
        <v>652</v>
      </c>
      <c r="D309" s="10" t="s">
        <v>27</v>
      </c>
      <c r="E309" s="11">
        <f t="shared" si="9"/>
        <v>15.88</v>
      </c>
      <c r="F309" s="12">
        <f t="shared" si="10"/>
        <v>21.517400000000002</v>
      </c>
      <c r="G309" s="13" t="s">
        <v>653</v>
      </c>
    </row>
    <row r="310" spans="1:7" x14ac:dyDescent="0.35">
      <c r="A310" s="9" t="s">
        <v>654</v>
      </c>
      <c r="D310" s="10" t="s">
        <v>51</v>
      </c>
      <c r="E310" s="11">
        <f t="shared" si="9"/>
        <v>30</v>
      </c>
      <c r="F310" s="12">
        <f t="shared" si="10"/>
        <v>40.65</v>
      </c>
      <c r="G310" s="13" t="s">
        <v>655</v>
      </c>
    </row>
    <row r="311" spans="1:7" x14ac:dyDescent="0.35">
      <c r="A311" s="9" t="s">
        <v>656</v>
      </c>
      <c r="D311" s="10" t="s">
        <v>139</v>
      </c>
      <c r="E311" s="11">
        <f t="shared" si="9"/>
        <v>70</v>
      </c>
      <c r="F311" s="12">
        <f t="shared" si="10"/>
        <v>94.85</v>
      </c>
      <c r="G311" s="13" t="s">
        <v>195</v>
      </c>
    </row>
    <row r="312" spans="1:7" x14ac:dyDescent="0.35">
      <c r="A312" s="9" t="s">
        <v>657</v>
      </c>
      <c r="D312" s="10" t="s">
        <v>24</v>
      </c>
      <c r="E312" s="11">
        <f t="shared" si="9"/>
        <v>150</v>
      </c>
      <c r="F312" s="12">
        <f t="shared" si="10"/>
        <v>203.25</v>
      </c>
      <c r="G312" s="13" t="s">
        <v>351</v>
      </c>
    </row>
    <row r="313" spans="1:7" x14ac:dyDescent="0.35">
      <c r="A313" s="9" t="s">
        <v>658</v>
      </c>
      <c r="D313" s="10" t="s">
        <v>69</v>
      </c>
      <c r="E313" s="11">
        <f t="shared" si="9"/>
        <v>25</v>
      </c>
      <c r="F313" s="12">
        <f t="shared" si="10"/>
        <v>33.875</v>
      </c>
      <c r="G313" s="13" t="s">
        <v>659</v>
      </c>
    </row>
    <row r="314" spans="1:7" x14ac:dyDescent="0.35">
      <c r="A314" s="9" t="s">
        <v>660</v>
      </c>
      <c r="D314" s="10" t="s">
        <v>10</v>
      </c>
      <c r="E314" s="11">
        <f t="shared" si="9"/>
        <v>40</v>
      </c>
      <c r="F314" s="12">
        <f t="shared" si="10"/>
        <v>54.2</v>
      </c>
      <c r="G314" s="13" t="s">
        <v>277</v>
      </c>
    </row>
    <row r="315" spans="1:7" x14ac:dyDescent="0.35">
      <c r="A315" s="9" t="s">
        <v>661</v>
      </c>
      <c r="D315" s="10" t="s">
        <v>27</v>
      </c>
      <c r="E315" s="11">
        <f t="shared" si="9"/>
        <v>70</v>
      </c>
      <c r="F315" s="12">
        <f t="shared" si="10"/>
        <v>94.85</v>
      </c>
      <c r="G315" s="13" t="s">
        <v>662</v>
      </c>
    </row>
    <row r="316" spans="1:7" x14ac:dyDescent="0.35">
      <c r="A316" s="9" t="s">
        <v>663</v>
      </c>
      <c r="D316" s="10" t="s">
        <v>139</v>
      </c>
      <c r="E316" s="11">
        <f t="shared" si="9"/>
        <v>30</v>
      </c>
      <c r="F316" s="12">
        <f t="shared" si="10"/>
        <v>40.65</v>
      </c>
      <c r="G316" s="13" t="s">
        <v>659</v>
      </c>
    </row>
    <row r="317" spans="1:7" x14ac:dyDescent="0.35">
      <c r="A317" s="9" t="s">
        <v>664</v>
      </c>
      <c r="D317" s="10" t="s">
        <v>13</v>
      </c>
      <c r="E317" s="11">
        <f t="shared" si="9"/>
        <v>40</v>
      </c>
      <c r="F317" s="12">
        <f t="shared" si="10"/>
        <v>54.2</v>
      </c>
      <c r="G317" s="13" t="s">
        <v>665</v>
      </c>
    </row>
    <row r="318" spans="1:7" x14ac:dyDescent="0.35">
      <c r="A318" s="9" t="s">
        <v>666</v>
      </c>
      <c r="D318" s="10" t="s">
        <v>51</v>
      </c>
      <c r="E318" s="11">
        <f t="shared" si="9"/>
        <v>118</v>
      </c>
      <c r="F318" s="12">
        <f t="shared" si="10"/>
        <v>159.88999999999999</v>
      </c>
      <c r="G318" s="13" t="s">
        <v>667</v>
      </c>
    </row>
    <row r="319" spans="1:7" x14ac:dyDescent="0.35">
      <c r="A319" s="9" t="s">
        <v>668</v>
      </c>
      <c r="D319" s="10" t="s">
        <v>115</v>
      </c>
      <c r="E319" s="11">
        <f t="shared" si="9"/>
        <v>70</v>
      </c>
      <c r="F319" s="12">
        <f t="shared" si="10"/>
        <v>94.85</v>
      </c>
      <c r="G319" s="13" t="s">
        <v>669</v>
      </c>
    </row>
    <row r="320" spans="1:7" x14ac:dyDescent="0.35">
      <c r="A320" s="9" t="s">
        <v>670</v>
      </c>
      <c r="D320" s="10" t="s">
        <v>51</v>
      </c>
      <c r="E320" s="11">
        <f t="shared" si="9"/>
        <v>180</v>
      </c>
      <c r="F320" s="12">
        <f t="shared" si="10"/>
        <v>243.9</v>
      </c>
      <c r="G320" s="13" t="s">
        <v>213</v>
      </c>
    </row>
    <row r="321" spans="1:7" x14ac:dyDescent="0.35">
      <c r="A321" s="9" t="s">
        <v>671</v>
      </c>
      <c r="D321" s="10" t="s">
        <v>24</v>
      </c>
      <c r="E321" s="11">
        <f t="shared" si="9"/>
        <v>180</v>
      </c>
      <c r="F321" s="12">
        <f t="shared" si="10"/>
        <v>243.9</v>
      </c>
      <c r="G321" s="13" t="s">
        <v>403</v>
      </c>
    </row>
    <row r="322" spans="1:7" x14ac:dyDescent="0.35">
      <c r="A322" s="9" t="s">
        <v>672</v>
      </c>
      <c r="D322" s="10" t="s">
        <v>51</v>
      </c>
      <c r="E322" s="11">
        <f t="shared" si="9"/>
        <v>120</v>
      </c>
      <c r="F322" s="12">
        <f t="shared" si="10"/>
        <v>162.6</v>
      </c>
      <c r="G322" s="13" t="s">
        <v>245</v>
      </c>
    </row>
    <row r="323" spans="1:7" x14ac:dyDescent="0.35">
      <c r="A323" s="9" t="s">
        <v>673</v>
      </c>
      <c r="D323" s="10" t="s">
        <v>51</v>
      </c>
      <c r="E323" s="11">
        <f t="shared" ref="E323:E386" si="11">G323/D323</f>
        <v>80</v>
      </c>
      <c r="F323" s="12">
        <f t="shared" si="10"/>
        <v>108.4</v>
      </c>
      <c r="G323" s="13" t="s">
        <v>622</v>
      </c>
    </row>
    <row r="324" spans="1:7" x14ac:dyDescent="0.35">
      <c r="A324" s="9" t="s">
        <v>674</v>
      </c>
      <c r="D324" s="10" t="s">
        <v>51</v>
      </c>
      <c r="E324" s="11">
        <f t="shared" si="11"/>
        <v>150</v>
      </c>
      <c r="F324" s="12">
        <f t="shared" si="10"/>
        <v>203.25</v>
      </c>
      <c r="G324" s="13" t="s">
        <v>659</v>
      </c>
    </row>
    <row r="325" spans="1:7" x14ac:dyDescent="0.35">
      <c r="A325" s="9" t="s">
        <v>675</v>
      </c>
      <c r="D325" s="10" t="s">
        <v>24</v>
      </c>
      <c r="E325" s="11">
        <f t="shared" si="11"/>
        <v>521.28</v>
      </c>
      <c r="F325" s="12">
        <f t="shared" si="10"/>
        <v>706.33439999999996</v>
      </c>
      <c r="G325" s="13" t="s">
        <v>676</v>
      </c>
    </row>
    <row r="326" spans="1:7" x14ac:dyDescent="0.35">
      <c r="A326" s="9" t="s">
        <v>677</v>
      </c>
      <c r="D326" s="10" t="s">
        <v>27</v>
      </c>
      <c r="E326" s="11">
        <f t="shared" si="11"/>
        <v>74.545000000000002</v>
      </c>
      <c r="F326" s="12">
        <f t="shared" si="10"/>
        <v>101.008475</v>
      </c>
      <c r="G326" s="13" t="s">
        <v>678</v>
      </c>
    </row>
    <row r="327" spans="1:7" x14ac:dyDescent="0.35">
      <c r="A327" s="9" t="s">
        <v>679</v>
      </c>
      <c r="D327" s="10" t="s">
        <v>51</v>
      </c>
      <c r="E327" s="11">
        <f t="shared" si="11"/>
        <v>50</v>
      </c>
      <c r="F327" s="12">
        <f t="shared" si="10"/>
        <v>67.75</v>
      </c>
      <c r="G327" s="13" t="s">
        <v>334</v>
      </c>
    </row>
    <row r="328" spans="1:7" x14ac:dyDescent="0.35">
      <c r="A328" s="9" t="s">
        <v>680</v>
      </c>
      <c r="D328" s="10" t="s">
        <v>51</v>
      </c>
      <c r="E328" s="11">
        <f t="shared" si="11"/>
        <v>55</v>
      </c>
      <c r="F328" s="12">
        <f t="shared" si="10"/>
        <v>74.525000000000006</v>
      </c>
      <c r="G328" s="13" t="s">
        <v>199</v>
      </c>
    </row>
    <row r="329" spans="1:7" x14ac:dyDescent="0.35">
      <c r="A329" s="9" t="s">
        <v>681</v>
      </c>
      <c r="D329" s="10" t="s">
        <v>24</v>
      </c>
      <c r="E329" s="11">
        <f t="shared" si="11"/>
        <v>50</v>
      </c>
      <c r="F329" s="12">
        <f t="shared" si="10"/>
        <v>67.75</v>
      </c>
      <c r="G329" s="13" t="s">
        <v>177</v>
      </c>
    </row>
    <row r="330" spans="1:7" x14ac:dyDescent="0.35">
      <c r="A330" s="9" t="s">
        <v>682</v>
      </c>
      <c r="D330" s="10" t="s">
        <v>51</v>
      </c>
      <c r="E330" s="11">
        <f t="shared" si="11"/>
        <v>70</v>
      </c>
      <c r="F330" s="12">
        <f t="shared" si="10"/>
        <v>94.85</v>
      </c>
      <c r="G330" s="13" t="s">
        <v>157</v>
      </c>
    </row>
    <row r="331" spans="1:7" x14ac:dyDescent="0.35">
      <c r="A331" s="9" t="s">
        <v>683</v>
      </c>
      <c r="D331" s="10" t="s">
        <v>69</v>
      </c>
      <c r="E331" s="11">
        <f t="shared" si="11"/>
        <v>30</v>
      </c>
      <c r="F331" s="12">
        <f t="shared" si="10"/>
        <v>40.65</v>
      </c>
      <c r="G331" s="13" t="s">
        <v>213</v>
      </c>
    </row>
    <row r="332" spans="1:7" x14ac:dyDescent="0.35">
      <c r="A332" s="9" t="s">
        <v>684</v>
      </c>
      <c r="D332" s="10" t="s">
        <v>10</v>
      </c>
      <c r="E332" s="11">
        <f t="shared" si="11"/>
        <v>98.570999999999998</v>
      </c>
      <c r="F332" s="12">
        <f t="shared" si="10"/>
        <v>133.563705</v>
      </c>
      <c r="G332" s="13" t="s">
        <v>685</v>
      </c>
    </row>
    <row r="333" spans="1:7" x14ac:dyDescent="0.35">
      <c r="A333" s="9" t="s">
        <v>686</v>
      </c>
      <c r="D333" s="10" t="s">
        <v>51</v>
      </c>
      <c r="E333" s="11">
        <f t="shared" si="11"/>
        <v>110</v>
      </c>
      <c r="F333" s="12">
        <f t="shared" si="10"/>
        <v>149.05000000000001</v>
      </c>
      <c r="G333" s="13" t="s">
        <v>85</v>
      </c>
    </row>
    <row r="334" spans="1:7" x14ac:dyDescent="0.35">
      <c r="A334" s="9" t="s">
        <v>687</v>
      </c>
      <c r="D334" s="10" t="s">
        <v>154</v>
      </c>
      <c r="E334" s="11">
        <f t="shared" si="11"/>
        <v>45</v>
      </c>
      <c r="F334" s="12">
        <f t="shared" ref="F334:F397" si="12">35.5/100*E334+E334</f>
        <v>60.975000000000001</v>
      </c>
      <c r="G334" s="13" t="s">
        <v>188</v>
      </c>
    </row>
    <row r="335" spans="1:7" x14ac:dyDescent="0.35">
      <c r="A335" s="9" t="s">
        <v>688</v>
      </c>
      <c r="D335" s="10" t="s">
        <v>139</v>
      </c>
      <c r="E335" s="11">
        <f t="shared" si="11"/>
        <v>50</v>
      </c>
      <c r="F335" s="12">
        <f t="shared" si="12"/>
        <v>67.75</v>
      </c>
      <c r="G335" s="13" t="s">
        <v>89</v>
      </c>
    </row>
    <row r="336" spans="1:7" x14ac:dyDescent="0.35">
      <c r="A336" s="9" t="s">
        <v>689</v>
      </c>
      <c r="D336" s="10" t="s">
        <v>360</v>
      </c>
      <c r="E336" s="11">
        <f t="shared" si="11"/>
        <v>131.37235294117647</v>
      </c>
      <c r="F336" s="12">
        <f t="shared" si="12"/>
        <v>178.00953823529412</v>
      </c>
      <c r="G336" s="13" t="s">
        <v>690</v>
      </c>
    </row>
    <row r="337" spans="1:7" x14ac:dyDescent="0.35">
      <c r="A337" s="9" t="s">
        <v>691</v>
      </c>
      <c r="D337" s="10" t="s">
        <v>13</v>
      </c>
      <c r="E337" s="11">
        <f t="shared" si="11"/>
        <v>159.30562499999999</v>
      </c>
      <c r="F337" s="12">
        <f t="shared" si="12"/>
        <v>215.85912187499997</v>
      </c>
      <c r="G337" s="13" t="s">
        <v>692</v>
      </c>
    </row>
    <row r="338" spans="1:7" x14ac:dyDescent="0.35">
      <c r="A338" s="9" t="s">
        <v>693</v>
      </c>
      <c r="D338" s="10" t="s">
        <v>51</v>
      </c>
      <c r="E338" s="11">
        <f t="shared" si="11"/>
        <v>70</v>
      </c>
      <c r="F338" s="12">
        <f t="shared" si="12"/>
        <v>94.85</v>
      </c>
      <c r="G338" s="13" t="s">
        <v>157</v>
      </c>
    </row>
    <row r="339" spans="1:7" x14ac:dyDescent="0.35">
      <c r="A339" s="9" t="s">
        <v>694</v>
      </c>
      <c r="D339" s="10" t="s">
        <v>69</v>
      </c>
      <c r="E339" s="11">
        <f t="shared" si="11"/>
        <v>150</v>
      </c>
      <c r="F339" s="12">
        <f t="shared" si="12"/>
        <v>203.25</v>
      </c>
      <c r="G339" s="13" t="s">
        <v>695</v>
      </c>
    </row>
    <row r="340" spans="1:7" x14ac:dyDescent="0.35">
      <c r="A340" s="9" t="s">
        <v>696</v>
      </c>
      <c r="D340" s="10" t="s">
        <v>360</v>
      </c>
      <c r="E340" s="11">
        <f t="shared" si="11"/>
        <v>121.73941176470589</v>
      </c>
      <c r="F340" s="12">
        <f t="shared" si="12"/>
        <v>164.95690294117648</v>
      </c>
      <c r="G340" s="13" t="s">
        <v>697</v>
      </c>
    </row>
    <row r="341" spans="1:7" x14ac:dyDescent="0.35">
      <c r="A341" s="9" t="s">
        <v>698</v>
      </c>
      <c r="D341" s="10" t="s">
        <v>51</v>
      </c>
      <c r="E341" s="11">
        <f t="shared" si="11"/>
        <v>80</v>
      </c>
      <c r="F341" s="12">
        <f t="shared" si="12"/>
        <v>108.4</v>
      </c>
      <c r="G341" s="13" t="s">
        <v>622</v>
      </c>
    </row>
    <row r="342" spans="1:7" x14ac:dyDescent="0.35">
      <c r="A342" s="9" t="s">
        <v>699</v>
      </c>
      <c r="D342" s="10" t="s">
        <v>325</v>
      </c>
      <c r="E342" s="11">
        <f t="shared" si="11"/>
        <v>120</v>
      </c>
      <c r="F342" s="12">
        <f t="shared" si="12"/>
        <v>162.6</v>
      </c>
      <c r="G342" s="13" t="s">
        <v>700</v>
      </c>
    </row>
    <row r="343" spans="1:7" x14ac:dyDescent="0.35">
      <c r="A343" s="9" t="s">
        <v>701</v>
      </c>
      <c r="D343" s="10" t="s">
        <v>69</v>
      </c>
      <c r="E343" s="11">
        <f t="shared" si="11"/>
        <v>100</v>
      </c>
      <c r="F343" s="12">
        <f t="shared" si="12"/>
        <v>135.5</v>
      </c>
      <c r="G343" s="13" t="s">
        <v>146</v>
      </c>
    </row>
    <row r="344" spans="1:7" x14ac:dyDescent="0.35">
      <c r="A344" s="9" t="s">
        <v>702</v>
      </c>
      <c r="D344" s="10" t="s">
        <v>24</v>
      </c>
      <c r="E344" s="11">
        <f t="shared" si="11"/>
        <v>60</v>
      </c>
      <c r="F344" s="12">
        <f t="shared" si="12"/>
        <v>81.3</v>
      </c>
      <c r="G344" s="13" t="s">
        <v>245</v>
      </c>
    </row>
    <row r="345" spans="1:7" x14ac:dyDescent="0.35">
      <c r="A345" s="9" t="s">
        <v>703</v>
      </c>
      <c r="D345" s="10" t="s">
        <v>27</v>
      </c>
      <c r="E345" s="11">
        <f t="shared" si="11"/>
        <v>130</v>
      </c>
      <c r="F345" s="12">
        <f t="shared" si="12"/>
        <v>176.15</v>
      </c>
      <c r="G345" s="13" t="s">
        <v>704</v>
      </c>
    </row>
    <row r="346" spans="1:7" x14ac:dyDescent="0.35">
      <c r="A346" s="9" t="s">
        <v>705</v>
      </c>
      <c r="D346" s="10" t="s">
        <v>51</v>
      </c>
      <c r="E346" s="11">
        <f t="shared" si="11"/>
        <v>30</v>
      </c>
      <c r="F346" s="12">
        <f t="shared" si="12"/>
        <v>40.65</v>
      </c>
      <c r="G346" s="13" t="s">
        <v>655</v>
      </c>
    </row>
    <row r="347" spans="1:7" x14ac:dyDescent="0.35">
      <c r="A347" s="9" t="s">
        <v>706</v>
      </c>
      <c r="D347" s="10" t="s">
        <v>51</v>
      </c>
      <c r="E347" s="11">
        <f t="shared" si="11"/>
        <v>195</v>
      </c>
      <c r="F347" s="12">
        <f t="shared" si="12"/>
        <v>264.22500000000002</v>
      </c>
      <c r="G347" s="13" t="s">
        <v>519</v>
      </c>
    </row>
    <row r="348" spans="1:7" x14ac:dyDescent="0.35">
      <c r="A348" s="9" t="s">
        <v>707</v>
      </c>
      <c r="D348" s="10" t="s">
        <v>139</v>
      </c>
      <c r="E348" s="11">
        <f t="shared" si="11"/>
        <v>100</v>
      </c>
      <c r="F348" s="12">
        <f t="shared" si="12"/>
        <v>135.5</v>
      </c>
      <c r="G348" s="13" t="s">
        <v>300</v>
      </c>
    </row>
    <row r="349" spans="1:7" x14ac:dyDescent="0.35">
      <c r="A349" s="9" t="s">
        <v>708</v>
      </c>
      <c r="D349" s="10" t="s">
        <v>24</v>
      </c>
      <c r="E349" s="11">
        <f t="shared" si="11"/>
        <v>150</v>
      </c>
      <c r="F349" s="12">
        <f t="shared" si="12"/>
        <v>203.25</v>
      </c>
      <c r="G349" s="13" t="s">
        <v>351</v>
      </c>
    </row>
    <row r="350" spans="1:7" x14ac:dyDescent="0.35">
      <c r="A350" s="9" t="s">
        <v>709</v>
      </c>
      <c r="D350" s="10" t="s">
        <v>154</v>
      </c>
      <c r="E350" s="11">
        <f t="shared" si="11"/>
        <v>150</v>
      </c>
      <c r="F350" s="12">
        <f t="shared" si="12"/>
        <v>203.25</v>
      </c>
      <c r="G350" s="13" t="s">
        <v>313</v>
      </c>
    </row>
    <row r="351" spans="1:7" x14ac:dyDescent="0.35">
      <c r="A351" s="9" t="s">
        <v>710</v>
      </c>
      <c r="D351" s="10" t="s">
        <v>24</v>
      </c>
      <c r="E351" s="11">
        <f t="shared" si="11"/>
        <v>200</v>
      </c>
      <c r="F351" s="12">
        <f t="shared" si="12"/>
        <v>271</v>
      </c>
      <c r="G351" s="13" t="s">
        <v>277</v>
      </c>
    </row>
    <row r="352" spans="1:7" x14ac:dyDescent="0.35">
      <c r="A352" s="9" t="s">
        <v>711</v>
      </c>
      <c r="D352" s="10" t="s">
        <v>27</v>
      </c>
      <c r="E352" s="11">
        <f t="shared" si="11"/>
        <v>9.1050000000000004</v>
      </c>
      <c r="F352" s="12">
        <f t="shared" si="12"/>
        <v>12.337275</v>
      </c>
      <c r="G352" s="13" t="s">
        <v>712</v>
      </c>
    </row>
    <row r="353" spans="1:7" x14ac:dyDescent="0.35">
      <c r="A353" s="9" t="s">
        <v>713</v>
      </c>
      <c r="D353" s="10" t="s">
        <v>69</v>
      </c>
      <c r="E353" s="11">
        <f t="shared" si="11"/>
        <v>13.71</v>
      </c>
      <c r="F353" s="12">
        <f t="shared" si="12"/>
        <v>18.57705</v>
      </c>
      <c r="G353" s="13" t="s">
        <v>714</v>
      </c>
    </row>
    <row r="354" spans="1:7" x14ac:dyDescent="0.35">
      <c r="A354" s="9" t="s">
        <v>715</v>
      </c>
      <c r="D354" s="10" t="s">
        <v>139</v>
      </c>
      <c r="E354" s="11">
        <f t="shared" si="11"/>
        <v>37.031999999999996</v>
      </c>
      <c r="F354" s="12">
        <f t="shared" si="12"/>
        <v>50.178359999999998</v>
      </c>
      <c r="G354" s="13" t="s">
        <v>716</v>
      </c>
    </row>
    <row r="355" spans="1:7" x14ac:dyDescent="0.35">
      <c r="A355" s="9" t="s">
        <v>717</v>
      </c>
      <c r="D355" s="10" t="s">
        <v>124</v>
      </c>
      <c r="E355" s="11">
        <f t="shared" si="11"/>
        <v>7.4066666666666663</v>
      </c>
      <c r="F355" s="12">
        <f t="shared" si="12"/>
        <v>10.036033333333332</v>
      </c>
      <c r="G355" s="13" t="s">
        <v>718</v>
      </c>
    </row>
    <row r="356" spans="1:7" x14ac:dyDescent="0.35">
      <c r="A356" s="9" t="s">
        <v>719</v>
      </c>
      <c r="D356" s="10" t="s">
        <v>154</v>
      </c>
      <c r="E356" s="11">
        <f t="shared" si="11"/>
        <v>13.056666666666667</v>
      </c>
      <c r="F356" s="12">
        <f t="shared" si="12"/>
        <v>17.691783333333333</v>
      </c>
      <c r="G356" s="13" t="s">
        <v>720</v>
      </c>
    </row>
    <row r="357" spans="1:7" x14ac:dyDescent="0.35">
      <c r="A357" s="9" t="s">
        <v>721</v>
      </c>
      <c r="D357" s="10" t="s">
        <v>24</v>
      </c>
      <c r="E357" s="11">
        <f t="shared" si="11"/>
        <v>32</v>
      </c>
      <c r="F357" s="12">
        <f t="shared" si="12"/>
        <v>43.36</v>
      </c>
      <c r="G357" s="13" t="s">
        <v>722</v>
      </c>
    </row>
    <row r="358" spans="1:7" x14ac:dyDescent="0.35">
      <c r="A358" s="9" t="s">
        <v>723</v>
      </c>
      <c r="D358" s="10" t="s">
        <v>106</v>
      </c>
      <c r="E358" s="11">
        <f t="shared" si="11"/>
        <v>29.25</v>
      </c>
      <c r="F358" s="12">
        <f t="shared" si="12"/>
        <v>39.633749999999999</v>
      </c>
      <c r="G358" s="13" t="s">
        <v>724</v>
      </c>
    </row>
    <row r="359" spans="1:7" x14ac:dyDescent="0.35">
      <c r="A359" s="9" t="s">
        <v>725</v>
      </c>
      <c r="D359" s="10" t="s">
        <v>115</v>
      </c>
      <c r="E359" s="11">
        <f t="shared" si="11"/>
        <v>14.769090909090909</v>
      </c>
      <c r="F359" s="12">
        <f t="shared" si="12"/>
        <v>20.012118181818181</v>
      </c>
      <c r="G359" s="13" t="s">
        <v>726</v>
      </c>
    </row>
    <row r="360" spans="1:7" x14ac:dyDescent="0.35">
      <c r="A360" s="9" t="s">
        <v>727</v>
      </c>
      <c r="D360" s="10" t="s">
        <v>154</v>
      </c>
      <c r="E360" s="11">
        <f t="shared" si="11"/>
        <v>35</v>
      </c>
      <c r="F360" s="12">
        <f t="shared" si="12"/>
        <v>47.424999999999997</v>
      </c>
      <c r="G360" s="13" t="s">
        <v>728</v>
      </c>
    </row>
    <row r="361" spans="1:7" x14ac:dyDescent="0.35">
      <c r="A361" s="9" t="s">
        <v>729</v>
      </c>
      <c r="D361" s="10" t="s">
        <v>154</v>
      </c>
      <c r="E361" s="11">
        <f t="shared" si="11"/>
        <v>13.200000000000001</v>
      </c>
      <c r="F361" s="12">
        <f t="shared" si="12"/>
        <v>17.886000000000003</v>
      </c>
      <c r="G361" s="13" t="s">
        <v>730</v>
      </c>
    </row>
    <row r="362" spans="1:7" x14ac:dyDescent="0.35">
      <c r="A362" s="9" t="s">
        <v>731</v>
      </c>
      <c r="D362" s="10" t="s">
        <v>118</v>
      </c>
      <c r="E362" s="11">
        <f t="shared" si="11"/>
        <v>9</v>
      </c>
      <c r="F362" s="12">
        <f t="shared" si="12"/>
        <v>12.195</v>
      </c>
      <c r="G362" s="13" t="s">
        <v>732</v>
      </c>
    </row>
    <row r="363" spans="1:7" x14ac:dyDescent="0.35">
      <c r="A363" s="9" t="s">
        <v>733</v>
      </c>
      <c r="D363" s="10" t="s">
        <v>217</v>
      </c>
      <c r="E363" s="11">
        <f t="shared" si="11"/>
        <v>1.9534482758620688</v>
      </c>
      <c r="F363" s="12">
        <f t="shared" si="12"/>
        <v>2.6469224137931033</v>
      </c>
      <c r="G363" s="13" t="s">
        <v>734</v>
      </c>
    </row>
    <row r="364" spans="1:7" x14ac:dyDescent="0.35">
      <c r="A364" s="9" t="s">
        <v>735</v>
      </c>
      <c r="D364" s="10" t="s">
        <v>69</v>
      </c>
      <c r="E364" s="11">
        <f t="shared" si="11"/>
        <v>90</v>
      </c>
      <c r="F364" s="12">
        <f t="shared" si="12"/>
        <v>121.95</v>
      </c>
      <c r="G364" s="13" t="s">
        <v>736</v>
      </c>
    </row>
    <row r="365" spans="1:7" x14ac:dyDescent="0.35">
      <c r="A365" s="9" t="s">
        <v>737</v>
      </c>
      <c r="D365" s="10" t="s">
        <v>523</v>
      </c>
      <c r="E365" s="11">
        <f t="shared" si="11"/>
        <v>2.1730769230769229</v>
      </c>
      <c r="F365" s="12">
        <f t="shared" si="12"/>
        <v>2.9445192307692305</v>
      </c>
      <c r="G365" s="13" t="s">
        <v>738</v>
      </c>
    </row>
    <row r="366" spans="1:7" x14ac:dyDescent="0.35">
      <c r="A366" s="9" t="s">
        <v>739</v>
      </c>
      <c r="D366" s="10" t="s">
        <v>194</v>
      </c>
      <c r="E366" s="11">
        <f t="shared" si="11"/>
        <v>39.428571428571431</v>
      </c>
      <c r="F366" s="12">
        <f t="shared" si="12"/>
        <v>53.425714285714285</v>
      </c>
      <c r="G366" s="13" t="s">
        <v>740</v>
      </c>
    </row>
    <row r="367" spans="1:7" x14ac:dyDescent="0.35">
      <c r="A367" s="9" t="s">
        <v>741</v>
      </c>
      <c r="D367" s="10" t="s">
        <v>51</v>
      </c>
      <c r="E367" s="11">
        <f t="shared" si="11"/>
        <v>39.5</v>
      </c>
      <c r="F367" s="12">
        <f t="shared" si="12"/>
        <v>53.522500000000001</v>
      </c>
      <c r="G367" s="13" t="s">
        <v>742</v>
      </c>
    </row>
    <row r="368" spans="1:7" x14ac:dyDescent="0.35">
      <c r="A368" s="9" t="s">
        <v>743</v>
      </c>
      <c r="D368" s="10" t="s">
        <v>208</v>
      </c>
      <c r="E368" s="11">
        <f t="shared" si="11"/>
        <v>9.8176923076923082</v>
      </c>
      <c r="F368" s="12">
        <f t="shared" si="12"/>
        <v>13.302973076923077</v>
      </c>
      <c r="G368" s="13" t="s">
        <v>744</v>
      </c>
    </row>
    <row r="369" spans="1:7" x14ac:dyDescent="0.35">
      <c r="A369" s="9" t="s">
        <v>745</v>
      </c>
      <c r="D369" s="10" t="s">
        <v>746</v>
      </c>
      <c r="E369" s="11">
        <f t="shared" si="11"/>
        <v>6.0609756097560972</v>
      </c>
      <c r="F369" s="12">
        <f t="shared" si="12"/>
        <v>8.2126219512195107</v>
      </c>
      <c r="G369" s="13" t="s">
        <v>747</v>
      </c>
    </row>
    <row r="370" spans="1:7" x14ac:dyDescent="0.35">
      <c r="A370" s="9" t="s">
        <v>748</v>
      </c>
      <c r="D370" s="10" t="s">
        <v>75</v>
      </c>
      <c r="E370" s="11">
        <f t="shared" si="11"/>
        <v>3.3637500000000005</v>
      </c>
      <c r="F370" s="12">
        <f t="shared" si="12"/>
        <v>4.5578812500000003</v>
      </c>
      <c r="G370" s="13" t="s">
        <v>749</v>
      </c>
    </row>
    <row r="371" spans="1:7" x14ac:dyDescent="0.35">
      <c r="A371" s="9" t="s">
        <v>750</v>
      </c>
      <c r="D371" s="10" t="s">
        <v>24</v>
      </c>
      <c r="E371" s="11">
        <f t="shared" si="11"/>
        <v>62.78</v>
      </c>
      <c r="F371" s="12">
        <f t="shared" si="12"/>
        <v>85.066900000000004</v>
      </c>
      <c r="G371" s="13" t="s">
        <v>751</v>
      </c>
    </row>
    <row r="372" spans="1:7" x14ac:dyDescent="0.35">
      <c r="A372" s="9" t="s">
        <v>752</v>
      </c>
      <c r="D372" s="10" t="s">
        <v>27</v>
      </c>
      <c r="E372" s="11">
        <f t="shared" si="11"/>
        <v>35.25</v>
      </c>
      <c r="F372" s="12">
        <f t="shared" si="12"/>
        <v>47.763750000000002</v>
      </c>
      <c r="G372" s="13" t="s">
        <v>753</v>
      </c>
    </row>
    <row r="373" spans="1:7" x14ac:dyDescent="0.35">
      <c r="A373" s="9" t="s">
        <v>754</v>
      </c>
      <c r="D373" s="10" t="s">
        <v>94</v>
      </c>
      <c r="E373" s="11">
        <f t="shared" si="11"/>
        <v>15.65936170212766</v>
      </c>
      <c r="F373" s="12">
        <f t="shared" si="12"/>
        <v>21.218435106382977</v>
      </c>
      <c r="G373" s="13" t="s">
        <v>755</v>
      </c>
    </row>
    <row r="374" spans="1:7" x14ac:dyDescent="0.35">
      <c r="A374" s="9" t="s">
        <v>756</v>
      </c>
      <c r="D374" s="10" t="s">
        <v>118</v>
      </c>
      <c r="E374" s="11">
        <f t="shared" si="11"/>
        <v>37.902222222222221</v>
      </c>
      <c r="F374" s="12">
        <f t="shared" si="12"/>
        <v>51.357511111111108</v>
      </c>
      <c r="G374" s="13" t="s">
        <v>757</v>
      </c>
    </row>
    <row r="375" spans="1:7" x14ac:dyDescent="0.35">
      <c r="A375" s="9" t="s">
        <v>758</v>
      </c>
      <c r="D375" s="10" t="s">
        <v>374</v>
      </c>
      <c r="E375" s="11">
        <f t="shared" si="11"/>
        <v>23.789333333333332</v>
      </c>
      <c r="F375" s="12">
        <f t="shared" si="12"/>
        <v>32.23454666666666</v>
      </c>
      <c r="G375" s="13" t="s">
        <v>759</v>
      </c>
    </row>
    <row r="376" spans="1:7" x14ac:dyDescent="0.35">
      <c r="A376" s="9" t="s">
        <v>760</v>
      </c>
      <c r="D376" s="10" t="s">
        <v>24</v>
      </c>
      <c r="E376" s="11">
        <f t="shared" si="11"/>
        <v>11.865</v>
      </c>
      <c r="F376" s="12">
        <f t="shared" si="12"/>
        <v>16.077075000000001</v>
      </c>
      <c r="G376" s="13" t="s">
        <v>761</v>
      </c>
    </row>
    <row r="377" spans="1:7" x14ac:dyDescent="0.35">
      <c r="A377" s="9" t="s">
        <v>762</v>
      </c>
      <c r="D377" s="10" t="s">
        <v>27</v>
      </c>
      <c r="E377" s="11">
        <f t="shared" si="11"/>
        <v>19.704999999999998</v>
      </c>
      <c r="F377" s="12">
        <f t="shared" si="12"/>
        <v>26.700274999999998</v>
      </c>
      <c r="G377" s="13" t="s">
        <v>763</v>
      </c>
    </row>
    <row r="378" spans="1:7" x14ac:dyDescent="0.35">
      <c r="A378" s="9" t="s">
        <v>764</v>
      </c>
      <c r="D378" s="10" t="s">
        <v>194</v>
      </c>
      <c r="E378" s="11">
        <f t="shared" si="11"/>
        <v>5.217142857142858</v>
      </c>
      <c r="F378" s="12">
        <f t="shared" si="12"/>
        <v>7.0692285714285727</v>
      </c>
      <c r="G378" s="13" t="s">
        <v>765</v>
      </c>
    </row>
    <row r="379" spans="1:7" x14ac:dyDescent="0.35">
      <c r="A379" s="9" t="s">
        <v>766</v>
      </c>
      <c r="D379" s="10" t="s">
        <v>154</v>
      </c>
      <c r="E379" s="11">
        <f t="shared" si="11"/>
        <v>21.42</v>
      </c>
      <c r="F379" s="12">
        <f t="shared" si="12"/>
        <v>29.024100000000001</v>
      </c>
      <c r="G379" s="13" t="s">
        <v>767</v>
      </c>
    </row>
    <row r="380" spans="1:7" x14ac:dyDescent="0.35">
      <c r="A380" s="9" t="s">
        <v>768</v>
      </c>
      <c r="D380" s="10" t="s">
        <v>194</v>
      </c>
      <c r="E380" s="11">
        <f t="shared" si="11"/>
        <v>5.7014285714285711</v>
      </c>
      <c r="F380" s="12">
        <f t="shared" si="12"/>
        <v>7.7254357142857142</v>
      </c>
      <c r="G380" s="13" t="s">
        <v>769</v>
      </c>
    </row>
    <row r="381" spans="1:7" x14ac:dyDescent="0.35">
      <c r="A381" s="9" t="s">
        <v>770</v>
      </c>
      <c r="D381" s="10" t="s">
        <v>100</v>
      </c>
      <c r="E381" s="11">
        <f t="shared" si="11"/>
        <v>7.2231818181818177</v>
      </c>
      <c r="F381" s="12">
        <f t="shared" si="12"/>
        <v>9.7874113636363624</v>
      </c>
      <c r="G381" s="13" t="s">
        <v>771</v>
      </c>
    </row>
    <row r="382" spans="1:7" x14ac:dyDescent="0.35">
      <c r="A382" s="9" t="s">
        <v>772</v>
      </c>
      <c r="D382" s="10" t="s">
        <v>134</v>
      </c>
      <c r="E382" s="11">
        <f t="shared" si="11"/>
        <v>8.5112500000000004</v>
      </c>
      <c r="F382" s="12">
        <f t="shared" si="12"/>
        <v>11.53274375</v>
      </c>
      <c r="G382" s="13" t="s">
        <v>773</v>
      </c>
    </row>
    <row r="383" spans="1:7" x14ac:dyDescent="0.35">
      <c r="A383" s="9" t="s">
        <v>774</v>
      </c>
      <c r="D383" s="10" t="s">
        <v>69</v>
      </c>
      <c r="E383" s="11">
        <f t="shared" si="11"/>
        <v>34.426666666666669</v>
      </c>
      <c r="F383" s="12">
        <f t="shared" si="12"/>
        <v>46.648133333333334</v>
      </c>
      <c r="G383" s="13" t="s">
        <v>775</v>
      </c>
    </row>
    <row r="384" spans="1:7" x14ac:dyDescent="0.35">
      <c r="A384" s="9" t="s">
        <v>776</v>
      </c>
      <c r="D384" s="10" t="s">
        <v>69</v>
      </c>
      <c r="E384" s="11">
        <f t="shared" si="11"/>
        <v>38.69</v>
      </c>
      <c r="F384" s="12">
        <f t="shared" si="12"/>
        <v>52.424949999999995</v>
      </c>
      <c r="G384" s="13" t="s">
        <v>777</v>
      </c>
    </row>
    <row r="385" spans="1:7" x14ac:dyDescent="0.35">
      <c r="A385" s="9" t="s">
        <v>778</v>
      </c>
      <c r="D385" s="10" t="s">
        <v>391</v>
      </c>
      <c r="E385" s="11">
        <f t="shared" si="11"/>
        <v>6.5680198019801983</v>
      </c>
      <c r="F385" s="12">
        <f t="shared" si="12"/>
        <v>8.8996668316831684</v>
      </c>
      <c r="G385" s="13" t="s">
        <v>779</v>
      </c>
    </row>
    <row r="386" spans="1:7" x14ac:dyDescent="0.35">
      <c r="A386" s="9" t="s">
        <v>780</v>
      </c>
      <c r="D386" s="10" t="s">
        <v>201</v>
      </c>
      <c r="E386" s="11">
        <f t="shared" si="11"/>
        <v>2.1688235294117644</v>
      </c>
      <c r="F386" s="12">
        <f t="shared" si="12"/>
        <v>2.9387558823529405</v>
      </c>
      <c r="G386" s="13" t="s">
        <v>781</v>
      </c>
    </row>
    <row r="387" spans="1:7" x14ac:dyDescent="0.35">
      <c r="A387" s="9" t="s">
        <v>782</v>
      </c>
      <c r="D387" s="10" t="s">
        <v>783</v>
      </c>
      <c r="E387" s="11">
        <f t="shared" ref="E387:E450" si="13">G387/D387</f>
        <v>3.5659375</v>
      </c>
      <c r="F387" s="12">
        <f t="shared" si="12"/>
        <v>4.8318453124999996</v>
      </c>
      <c r="G387" s="13" t="s">
        <v>784</v>
      </c>
    </row>
    <row r="388" spans="1:7" x14ac:dyDescent="0.35">
      <c r="A388" s="9" t="s">
        <v>785</v>
      </c>
      <c r="D388" s="10" t="s">
        <v>10</v>
      </c>
      <c r="E388" s="11">
        <f t="shared" si="13"/>
        <v>3.8409999999999997</v>
      </c>
      <c r="F388" s="12">
        <f t="shared" si="12"/>
        <v>5.2045549999999992</v>
      </c>
      <c r="G388" s="13" t="s">
        <v>786</v>
      </c>
    </row>
    <row r="389" spans="1:7" x14ac:dyDescent="0.35">
      <c r="A389" s="9" t="s">
        <v>787</v>
      </c>
      <c r="D389" s="10" t="s">
        <v>51</v>
      </c>
      <c r="E389" s="11">
        <f t="shared" si="13"/>
        <v>18</v>
      </c>
      <c r="F389" s="12">
        <f t="shared" si="12"/>
        <v>24.39</v>
      </c>
      <c r="G389" s="13" t="s">
        <v>788</v>
      </c>
    </row>
    <row r="390" spans="1:7" x14ac:dyDescent="0.35">
      <c r="A390" s="9" t="s">
        <v>789</v>
      </c>
      <c r="D390" s="10" t="s">
        <v>325</v>
      </c>
      <c r="E390" s="11">
        <f t="shared" si="13"/>
        <v>3.78</v>
      </c>
      <c r="F390" s="12">
        <f t="shared" si="12"/>
        <v>5.1219000000000001</v>
      </c>
      <c r="G390" s="13" t="s">
        <v>790</v>
      </c>
    </row>
    <row r="391" spans="1:7" x14ac:dyDescent="0.35">
      <c r="A391" s="9" t="s">
        <v>791</v>
      </c>
      <c r="D391" s="10" t="s">
        <v>36</v>
      </c>
      <c r="E391" s="11">
        <f t="shared" si="13"/>
        <v>12.172631578947369</v>
      </c>
      <c r="F391" s="12">
        <f t="shared" si="12"/>
        <v>16.493915789473686</v>
      </c>
      <c r="G391" s="13" t="s">
        <v>792</v>
      </c>
    </row>
    <row r="392" spans="1:7" x14ac:dyDescent="0.35">
      <c r="A392" s="9" t="s">
        <v>793</v>
      </c>
      <c r="D392" s="10" t="s">
        <v>112</v>
      </c>
      <c r="E392" s="11">
        <f t="shared" si="13"/>
        <v>5.5304347826086957</v>
      </c>
      <c r="F392" s="12">
        <f t="shared" si="12"/>
        <v>7.4937391304347827</v>
      </c>
      <c r="G392" s="13" t="s">
        <v>794</v>
      </c>
    </row>
    <row r="393" spans="1:7" x14ac:dyDescent="0.35">
      <c r="A393" s="9" t="s">
        <v>795</v>
      </c>
      <c r="D393" s="10" t="s">
        <v>13</v>
      </c>
      <c r="E393" s="11">
        <f t="shared" si="13"/>
        <v>8.2962500000000006</v>
      </c>
      <c r="F393" s="12">
        <f t="shared" si="12"/>
        <v>11.241418750000001</v>
      </c>
      <c r="G393" s="13" t="s">
        <v>796</v>
      </c>
    </row>
    <row r="394" spans="1:7" x14ac:dyDescent="0.35">
      <c r="A394" s="9" t="s">
        <v>797</v>
      </c>
      <c r="D394" s="10" t="s">
        <v>97</v>
      </c>
      <c r="E394" s="11">
        <f t="shared" si="13"/>
        <v>4.4530555555555553</v>
      </c>
      <c r="F394" s="12">
        <f t="shared" si="12"/>
        <v>6.0338902777777772</v>
      </c>
      <c r="G394" s="13" t="s">
        <v>798</v>
      </c>
    </row>
    <row r="395" spans="1:7" x14ac:dyDescent="0.35">
      <c r="A395" s="9" t="s">
        <v>799</v>
      </c>
      <c r="D395" s="10" t="s">
        <v>124</v>
      </c>
      <c r="E395" s="11">
        <f t="shared" si="13"/>
        <v>12.513888888888889</v>
      </c>
      <c r="F395" s="12">
        <f t="shared" si="12"/>
        <v>16.956319444444446</v>
      </c>
      <c r="G395" s="13" t="s">
        <v>800</v>
      </c>
    </row>
    <row r="396" spans="1:7" x14ac:dyDescent="0.35">
      <c r="A396" s="9" t="s">
        <v>801</v>
      </c>
      <c r="D396" s="10" t="s">
        <v>60</v>
      </c>
      <c r="E396" s="11">
        <f t="shared" si="13"/>
        <v>4.7069999999999999</v>
      </c>
      <c r="F396" s="12">
        <f t="shared" si="12"/>
        <v>6.3779849999999998</v>
      </c>
      <c r="G396" s="13" t="s">
        <v>802</v>
      </c>
    </row>
    <row r="397" spans="1:7" x14ac:dyDescent="0.35">
      <c r="A397" s="9" t="s">
        <v>803</v>
      </c>
      <c r="D397" s="10" t="s">
        <v>804</v>
      </c>
      <c r="E397" s="11">
        <f t="shared" si="13"/>
        <v>3.3514285714285714</v>
      </c>
      <c r="F397" s="12">
        <f t="shared" si="12"/>
        <v>4.5411857142857137</v>
      </c>
      <c r="G397" s="13" t="s">
        <v>805</v>
      </c>
    </row>
    <row r="398" spans="1:7" x14ac:dyDescent="0.35">
      <c r="A398" s="9" t="s">
        <v>806</v>
      </c>
      <c r="D398" s="10" t="s">
        <v>10</v>
      </c>
      <c r="E398" s="11">
        <f t="shared" si="13"/>
        <v>18.922999999999998</v>
      </c>
      <c r="F398" s="12">
        <f t="shared" ref="F398:F459" si="14">35.5/100*E398+E398</f>
        <v>25.640664999999998</v>
      </c>
      <c r="G398" s="13" t="s">
        <v>807</v>
      </c>
    </row>
    <row r="399" spans="1:7" x14ac:dyDescent="0.35">
      <c r="A399" s="9" t="s">
        <v>808</v>
      </c>
      <c r="D399" s="10" t="s">
        <v>124</v>
      </c>
      <c r="E399" s="11">
        <f t="shared" si="13"/>
        <v>17.347777777777779</v>
      </c>
      <c r="F399" s="12">
        <f t="shared" si="14"/>
        <v>23.506238888888891</v>
      </c>
      <c r="G399" s="13" t="s">
        <v>809</v>
      </c>
    </row>
    <row r="400" spans="1:7" x14ac:dyDescent="0.35">
      <c r="A400" s="9" t="s">
        <v>810</v>
      </c>
      <c r="D400" s="10" t="s">
        <v>94</v>
      </c>
      <c r="E400" s="11">
        <f t="shared" si="13"/>
        <v>4.3563829787234045</v>
      </c>
      <c r="F400" s="12">
        <f t="shared" si="14"/>
        <v>5.9028989361702129</v>
      </c>
      <c r="G400" s="13" t="s">
        <v>811</v>
      </c>
    </row>
    <row r="401" spans="1:7" x14ac:dyDescent="0.35">
      <c r="A401" s="9" t="s">
        <v>812</v>
      </c>
      <c r="D401" s="10" t="s">
        <v>24</v>
      </c>
      <c r="E401" s="11">
        <f t="shared" si="13"/>
        <v>100</v>
      </c>
      <c r="F401" s="12">
        <f t="shared" si="14"/>
        <v>135.5</v>
      </c>
      <c r="G401" s="13" t="s">
        <v>78</v>
      </c>
    </row>
    <row r="402" spans="1:7" x14ac:dyDescent="0.35">
      <c r="A402" s="9" t="s">
        <v>813</v>
      </c>
      <c r="D402" s="10" t="s">
        <v>51</v>
      </c>
      <c r="E402" s="11">
        <f t="shared" si="13"/>
        <v>90</v>
      </c>
      <c r="F402" s="12">
        <f t="shared" si="14"/>
        <v>121.95</v>
      </c>
      <c r="G402" s="13" t="s">
        <v>232</v>
      </c>
    </row>
    <row r="403" spans="1:7" x14ac:dyDescent="0.35">
      <c r="A403" s="9" t="s">
        <v>814</v>
      </c>
      <c r="D403" s="10" t="s">
        <v>154</v>
      </c>
      <c r="E403" s="11">
        <f t="shared" si="13"/>
        <v>20</v>
      </c>
      <c r="F403" s="12">
        <f t="shared" si="14"/>
        <v>27.1</v>
      </c>
      <c r="G403" s="13" t="s">
        <v>646</v>
      </c>
    </row>
    <row r="404" spans="1:7" x14ac:dyDescent="0.35">
      <c r="A404" s="9" t="s">
        <v>815</v>
      </c>
      <c r="D404" s="10" t="s">
        <v>51</v>
      </c>
      <c r="E404" s="11">
        <f t="shared" si="13"/>
        <v>30</v>
      </c>
      <c r="F404" s="12">
        <f t="shared" si="14"/>
        <v>40.65</v>
      </c>
      <c r="G404" s="13" t="s">
        <v>655</v>
      </c>
    </row>
    <row r="405" spans="1:7" x14ac:dyDescent="0.35">
      <c r="A405" s="9" t="s">
        <v>816</v>
      </c>
      <c r="D405" s="10" t="s">
        <v>51</v>
      </c>
      <c r="E405" s="11">
        <f t="shared" si="13"/>
        <v>45</v>
      </c>
      <c r="F405" s="12">
        <f t="shared" si="14"/>
        <v>60.975000000000001</v>
      </c>
      <c r="G405" s="13" t="s">
        <v>817</v>
      </c>
    </row>
    <row r="406" spans="1:7" x14ac:dyDescent="0.35">
      <c r="A406" s="9" t="s">
        <v>818</v>
      </c>
      <c r="D406" s="10" t="s">
        <v>51</v>
      </c>
      <c r="E406" s="11">
        <f t="shared" si="13"/>
        <v>15</v>
      </c>
      <c r="F406" s="12">
        <f t="shared" si="14"/>
        <v>20.324999999999999</v>
      </c>
      <c r="G406" s="13" t="s">
        <v>819</v>
      </c>
    </row>
    <row r="407" spans="1:7" x14ac:dyDescent="0.35">
      <c r="A407" s="9" t="s">
        <v>820</v>
      </c>
      <c r="D407" s="10" t="s">
        <v>24</v>
      </c>
      <c r="E407" s="11">
        <f t="shared" si="13"/>
        <v>18</v>
      </c>
      <c r="F407" s="12">
        <f t="shared" si="14"/>
        <v>24.39</v>
      </c>
      <c r="G407" s="13" t="s">
        <v>332</v>
      </c>
    </row>
    <row r="408" spans="1:7" x14ac:dyDescent="0.35">
      <c r="A408" s="9" t="s">
        <v>821</v>
      </c>
      <c r="D408" s="10" t="s">
        <v>27</v>
      </c>
      <c r="E408" s="11">
        <f t="shared" si="13"/>
        <v>25</v>
      </c>
      <c r="F408" s="12">
        <f t="shared" si="14"/>
        <v>33.875</v>
      </c>
      <c r="G408" s="13" t="s">
        <v>177</v>
      </c>
    </row>
    <row r="409" spans="1:7" x14ac:dyDescent="0.35">
      <c r="A409" s="9" t="s">
        <v>822</v>
      </c>
      <c r="D409" s="10" t="s">
        <v>823</v>
      </c>
      <c r="E409" s="11">
        <f t="shared" si="13"/>
        <v>4.9033333333333333</v>
      </c>
      <c r="F409" s="12">
        <f t="shared" si="14"/>
        <v>6.6440166666666665</v>
      </c>
      <c r="G409" s="13" t="s">
        <v>824</v>
      </c>
    </row>
    <row r="410" spans="1:7" x14ac:dyDescent="0.35">
      <c r="A410" s="9" t="s">
        <v>825</v>
      </c>
      <c r="D410" s="10" t="s">
        <v>13</v>
      </c>
      <c r="E410" s="11">
        <f t="shared" si="13"/>
        <v>20.805</v>
      </c>
      <c r="F410" s="12">
        <f t="shared" si="14"/>
        <v>28.190774999999999</v>
      </c>
      <c r="G410" s="13" t="s">
        <v>826</v>
      </c>
    </row>
    <row r="411" spans="1:7" x14ac:dyDescent="0.35">
      <c r="A411" s="9" t="s">
        <v>827</v>
      </c>
      <c r="D411" s="10" t="s">
        <v>828</v>
      </c>
      <c r="E411" s="11">
        <f t="shared" si="13"/>
        <v>14.441935483870967</v>
      </c>
      <c r="F411" s="12">
        <f t="shared" si="14"/>
        <v>19.568822580645161</v>
      </c>
      <c r="G411" s="13" t="s">
        <v>829</v>
      </c>
    </row>
    <row r="412" spans="1:7" x14ac:dyDescent="0.35">
      <c r="A412" s="9" t="s">
        <v>830</v>
      </c>
      <c r="D412" s="10" t="s">
        <v>27</v>
      </c>
      <c r="E412" s="11">
        <f t="shared" si="13"/>
        <v>21</v>
      </c>
      <c r="F412" s="12">
        <f t="shared" si="14"/>
        <v>28.454999999999998</v>
      </c>
      <c r="G412" s="13" t="s">
        <v>261</v>
      </c>
    </row>
    <row r="413" spans="1:7" x14ac:dyDescent="0.35">
      <c r="A413" s="9" t="s">
        <v>831</v>
      </c>
      <c r="D413" s="10" t="s">
        <v>24</v>
      </c>
      <c r="E413" s="11">
        <f t="shared" si="13"/>
        <v>117.4</v>
      </c>
      <c r="F413" s="12">
        <f t="shared" si="14"/>
        <v>159.077</v>
      </c>
      <c r="G413" s="13" t="s">
        <v>832</v>
      </c>
    </row>
    <row r="414" spans="1:7" x14ac:dyDescent="0.35">
      <c r="A414" s="9" t="s">
        <v>833</v>
      </c>
      <c r="D414" s="10" t="s">
        <v>124</v>
      </c>
      <c r="E414" s="11">
        <f t="shared" si="13"/>
        <v>13.17</v>
      </c>
      <c r="F414" s="12">
        <f t="shared" si="14"/>
        <v>17.84535</v>
      </c>
      <c r="G414" s="13" t="s">
        <v>834</v>
      </c>
    </row>
    <row r="415" spans="1:7" x14ac:dyDescent="0.35">
      <c r="A415" s="9" t="s">
        <v>835</v>
      </c>
      <c r="D415" s="10" t="s">
        <v>51</v>
      </c>
      <c r="E415" s="11">
        <f t="shared" si="13"/>
        <v>10</v>
      </c>
      <c r="F415" s="12">
        <f t="shared" si="14"/>
        <v>13.55</v>
      </c>
      <c r="G415" s="13" t="s">
        <v>836</v>
      </c>
    </row>
    <row r="416" spans="1:7" x14ac:dyDescent="0.35">
      <c r="A416" s="9" t="s">
        <v>837</v>
      </c>
      <c r="D416" s="10" t="s">
        <v>51</v>
      </c>
      <c r="E416" s="11">
        <f t="shared" si="13"/>
        <v>55</v>
      </c>
      <c r="F416" s="12">
        <f t="shared" si="14"/>
        <v>74.525000000000006</v>
      </c>
      <c r="G416" s="13" t="s">
        <v>199</v>
      </c>
    </row>
    <row r="417" spans="1:7" x14ac:dyDescent="0.35">
      <c r="A417" s="9" t="s">
        <v>838</v>
      </c>
      <c r="D417" s="10" t="s">
        <v>51</v>
      </c>
      <c r="E417" s="11">
        <f t="shared" si="13"/>
        <v>50</v>
      </c>
      <c r="F417" s="12">
        <f t="shared" si="14"/>
        <v>67.75</v>
      </c>
      <c r="G417" s="13" t="s">
        <v>334</v>
      </c>
    </row>
    <row r="418" spans="1:7" x14ac:dyDescent="0.35">
      <c r="A418" s="9" t="s">
        <v>839</v>
      </c>
      <c r="D418" s="10" t="s">
        <v>154</v>
      </c>
      <c r="E418" s="11">
        <f t="shared" si="13"/>
        <v>30</v>
      </c>
      <c r="F418" s="12">
        <f t="shared" si="14"/>
        <v>40.65</v>
      </c>
      <c r="G418" s="13" t="s">
        <v>232</v>
      </c>
    </row>
    <row r="419" spans="1:7" x14ac:dyDescent="0.35">
      <c r="A419" s="9" t="s">
        <v>840</v>
      </c>
      <c r="D419" s="10" t="s">
        <v>841</v>
      </c>
      <c r="E419" s="11">
        <f t="shared" si="13"/>
        <v>1.666857142857143</v>
      </c>
      <c r="F419" s="12">
        <f t="shared" si="14"/>
        <v>2.258591428571429</v>
      </c>
      <c r="G419" s="13" t="s">
        <v>842</v>
      </c>
    </row>
    <row r="420" spans="1:7" x14ac:dyDescent="0.35">
      <c r="A420" s="9" t="s">
        <v>843</v>
      </c>
      <c r="D420" s="10" t="s">
        <v>844</v>
      </c>
      <c r="E420" s="11">
        <f t="shared" si="13"/>
        <v>3.5846853146853146</v>
      </c>
      <c r="F420" s="12">
        <f t="shared" si="14"/>
        <v>4.8572486013986014</v>
      </c>
      <c r="G420" s="13" t="s">
        <v>845</v>
      </c>
    </row>
    <row r="421" spans="1:7" x14ac:dyDescent="0.35">
      <c r="A421" s="9" t="s">
        <v>846</v>
      </c>
      <c r="D421" s="10" t="s">
        <v>154</v>
      </c>
      <c r="E421" s="11">
        <f t="shared" si="13"/>
        <v>150</v>
      </c>
      <c r="F421" s="12">
        <f t="shared" si="14"/>
        <v>203.25</v>
      </c>
      <c r="G421" s="13" t="s">
        <v>313</v>
      </c>
    </row>
    <row r="422" spans="1:7" x14ac:dyDescent="0.35">
      <c r="A422" s="9" t="s">
        <v>847</v>
      </c>
      <c r="D422" s="10" t="s">
        <v>51</v>
      </c>
      <c r="E422" s="11">
        <f t="shared" si="13"/>
        <v>92.42</v>
      </c>
      <c r="F422" s="12">
        <f t="shared" si="14"/>
        <v>125.2291</v>
      </c>
      <c r="G422" s="13" t="s">
        <v>848</v>
      </c>
    </row>
    <row r="423" spans="1:7" x14ac:dyDescent="0.35">
      <c r="A423" s="9" t="s">
        <v>849</v>
      </c>
      <c r="D423" s="10" t="s">
        <v>118</v>
      </c>
      <c r="E423" s="11">
        <f t="shared" si="13"/>
        <v>2.1622222222222223</v>
      </c>
      <c r="F423" s="12">
        <f t="shared" si="14"/>
        <v>2.9298111111111114</v>
      </c>
      <c r="G423" s="13" t="s">
        <v>850</v>
      </c>
    </row>
    <row r="424" spans="1:7" x14ac:dyDescent="0.35">
      <c r="A424" s="9" t="s">
        <v>851</v>
      </c>
      <c r="D424" s="10" t="s">
        <v>618</v>
      </c>
      <c r="E424" s="11">
        <f t="shared" si="13"/>
        <v>2.5635087719298246</v>
      </c>
      <c r="F424" s="12">
        <f t="shared" si="14"/>
        <v>3.4735543859649125</v>
      </c>
      <c r="G424" s="13" t="s">
        <v>852</v>
      </c>
    </row>
    <row r="425" spans="1:7" x14ac:dyDescent="0.35">
      <c r="A425" s="9" t="s">
        <v>853</v>
      </c>
      <c r="D425" s="10" t="s">
        <v>854</v>
      </c>
      <c r="E425" s="11">
        <f t="shared" si="13"/>
        <v>15.890666666666668</v>
      </c>
      <c r="F425" s="12">
        <f t="shared" si="14"/>
        <v>21.531853333333334</v>
      </c>
      <c r="G425" s="13" t="s">
        <v>855</v>
      </c>
    </row>
    <row r="426" spans="1:7" x14ac:dyDescent="0.35">
      <c r="A426" s="9" t="s">
        <v>856</v>
      </c>
      <c r="D426" s="10" t="s">
        <v>124</v>
      </c>
      <c r="E426" s="11">
        <f t="shared" si="13"/>
        <v>27.712222222222223</v>
      </c>
      <c r="F426" s="12">
        <f t="shared" si="14"/>
        <v>37.550061111111113</v>
      </c>
      <c r="G426" s="13" t="s">
        <v>857</v>
      </c>
    </row>
    <row r="427" spans="1:7" x14ac:dyDescent="0.35">
      <c r="A427" s="9" t="s">
        <v>858</v>
      </c>
      <c r="D427" s="10" t="s">
        <v>80</v>
      </c>
      <c r="E427" s="11">
        <f t="shared" si="13"/>
        <v>4.3913513513513509</v>
      </c>
      <c r="F427" s="12">
        <f t="shared" si="14"/>
        <v>5.95028108108108</v>
      </c>
      <c r="G427" s="13" t="s">
        <v>859</v>
      </c>
    </row>
    <row r="428" spans="1:7" x14ac:dyDescent="0.35">
      <c r="A428" s="9" t="s">
        <v>860</v>
      </c>
      <c r="D428" s="10" t="s">
        <v>861</v>
      </c>
      <c r="E428" s="11">
        <f t="shared" si="13"/>
        <v>1.6839655172413794</v>
      </c>
      <c r="F428" s="12">
        <f t="shared" si="14"/>
        <v>2.281773275862069</v>
      </c>
      <c r="G428" s="13" t="s">
        <v>862</v>
      </c>
    </row>
    <row r="429" spans="1:7" x14ac:dyDescent="0.35">
      <c r="A429" s="9" t="s">
        <v>863</v>
      </c>
      <c r="D429" s="10" t="s">
        <v>201</v>
      </c>
      <c r="E429" s="11">
        <f t="shared" si="13"/>
        <v>1.6573529411764707</v>
      </c>
      <c r="F429" s="12">
        <f t="shared" si="14"/>
        <v>2.2457132352941178</v>
      </c>
      <c r="G429" s="13" t="s">
        <v>864</v>
      </c>
    </row>
    <row r="430" spans="1:7" x14ac:dyDescent="0.35">
      <c r="A430" s="9" t="s">
        <v>865</v>
      </c>
      <c r="D430" s="10" t="s">
        <v>27</v>
      </c>
      <c r="E430" s="11">
        <f t="shared" si="13"/>
        <v>20</v>
      </c>
      <c r="F430" s="12">
        <f t="shared" si="14"/>
        <v>27.1</v>
      </c>
      <c r="G430" s="13" t="s">
        <v>622</v>
      </c>
    </row>
    <row r="431" spans="1:7" x14ac:dyDescent="0.35">
      <c r="A431" s="9" t="s">
        <v>866</v>
      </c>
      <c r="D431" s="10" t="s">
        <v>154</v>
      </c>
      <c r="E431" s="11">
        <f t="shared" si="13"/>
        <v>115.71333333333332</v>
      </c>
      <c r="F431" s="12">
        <f t="shared" si="14"/>
        <v>156.79156666666665</v>
      </c>
      <c r="G431" s="13" t="s">
        <v>867</v>
      </c>
    </row>
    <row r="432" spans="1:7" x14ac:dyDescent="0.35">
      <c r="A432" s="9" t="s">
        <v>868</v>
      </c>
      <c r="D432" s="10" t="s">
        <v>154</v>
      </c>
      <c r="E432" s="11">
        <f t="shared" si="13"/>
        <v>135</v>
      </c>
      <c r="F432" s="12">
        <f t="shared" si="14"/>
        <v>182.92500000000001</v>
      </c>
      <c r="G432" s="13" t="s">
        <v>869</v>
      </c>
    </row>
    <row r="433" spans="1:7" x14ac:dyDescent="0.35">
      <c r="A433" s="9" t="s">
        <v>870</v>
      </c>
      <c r="D433" s="10" t="s">
        <v>24</v>
      </c>
      <c r="E433" s="11">
        <f t="shared" si="13"/>
        <v>100</v>
      </c>
      <c r="F433" s="12">
        <f t="shared" si="14"/>
        <v>135.5</v>
      </c>
      <c r="G433" s="13" t="s">
        <v>78</v>
      </c>
    </row>
    <row r="434" spans="1:7" x14ac:dyDescent="0.35">
      <c r="A434" s="9" t="s">
        <v>871</v>
      </c>
      <c r="D434" s="10" t="s">
        <v>194</v>
      </c>
      <c r="E434" s="11">
        <f t="shared" si="13"/>
        <v>54.545714285714283</v>
      </c>
      <c r="F434" s="12">
        <f t="shared" si="14"/>
        <v>73.909442857142849</v>
      </c>
      <c r="G434" s="13" t="s">
        <v>872</v>
      </c>
    </row>
    <row r="435" spans="1:7" x14ac:dyDescent="0.35">
      <c r="A435" s="9" t="s">
        <v>873</v>
      </c>
      <c r="D435" s="10" t="s">
        <v>51</v>
      </c>
      <c r="E435" s="11">
        <f t="shared" si="13"/>
        <v>50</v>
      </c>
      <c r="F435" s="12">
        <f t="shared" si="14"/>
        <v>67.75</v>
      </c>
      <c r="G435" s="13" t="s">
        <v>334</v>
      </c>
    </row>
    <row r="436" spans="1:7" x14ac:dyDescent="0.35">
      <c r="A436" s="9" t="s">
        <v>874</v>
      </c>
      <c r="D436" s="10" t="s">
        <v>51</v>
      </c>
      <c r="E436" s="11">
        <f t="shared" si="13"/>
        <v>50</v>
      </c>
      <c r="F436" s="12">
        <f t="shared" si="14"/>
        <v>67.75</v>
      </c>
      <c r="G436" s="13" t="s">
        <v>334</v>
      </c>
    </row>
    <row r="437" spans="1:7" x14ac:dyDescent="0.35">
      <c r="A437" s="9" t="s">
        <v>875</v>
      </c>
      <c r="D437" s="10" t="s">
        <v>154</v>
      </c>
      <c r="E437" s="11">
        <f t="shared" si="13"/>
        <v>50</v>
      </c>
      <c r="F437" s="12">
        <f t="shared" si="14"/>
        <v>67.75</v>
      </c>
      <c r="G437" s="13" t="s">
        <v>659</v>
      </c>
    </row>
    <row r="438" spans="1:7" x14ac:dyDescent="0.35">
      <c r="A438" s="9" t="s">
        <v>876</v>
      </c>
      <c r="D438" s="10" t="s">
        <v>139</v>
      </c>
      <c r="E438" s="11">
        <f t="shared" si="13"/>
        <v>90</v>
      </c>
      <c r="F438" s="12">
        <f t="shared" si="14"/>
        <v>121.95</v>
      </c>
      <c r="G438" s="13" t="s">
        <v>313</v>
      </c>
    </row>
    <row r="439" spans="1:7" x14ac:dyDescent="0.35">
      <c r="A439" s="9" t="s">
        <v>877</v>
      </c>
      <c r="D439" s="10" t="s">
        <v>51</v>
      </c>
      <c r="E439" s="11">
        <f t="shared" si="13"/>
        <v>100</v>
      </c>
      <c r="F439" s="12">
        <f t="shared" si="14"/>
        <v>135.5</v>
      </c>
      <c r="G439" s="13" t="s">
        <v>177</v>
      </c>
    </row>
    <row r="440" spans="1:7" x14ac:dyDescent="0.35">
      <c r="A440" s="9" t="s">
        <v>878</v>
      </c>
      <c r="D440" s="10" t="s">
        <v>51</v>
      </c>
      <c r="E440" s="11">
        <f t="shared" si="13"/>
        <v>50</v>
      </c>
      <c r="F440" s="12">
        <f t="shared" si="14"/>
        <v>67.75</v>
      </c>
      <c r="G440" s="13" t="s">
        <v>334</v>
      </c>
    </row>
    <row r="441" spans="1:7" x14ac:dyDescent="0.35">
      <c r="A441" s="9" t="s">
        <v>879</v>
      </c>
      <c r="D441" s="10" t="s">
        <v>24</v>
      </c>
      <c r="E441" s="11">
        <f t="shared" si="13"/>
        <v>100</v>
      </c>
      <c r="F441" s="12">
        <f t="shared" si="14"/>
        <v>135.5</v>
      </c>
      <c r="G441" s="13" t="s">
        <v>78</v>
      </c>
    </row>
    <row r="442" spans="1:7" x14ac:dyDescent="0.35">
      <c r="A442" s="9" t="s">
        <v>880</v>
      </c>
      <c r="D442" s="10" t="s">
        <v>139</v>
      </c>
      <c r="E442" s="11">
        <f t="shared" si="13"/>
        <v>100</v>
      </c>
      <c r="F442" s="12">
        <f t="shared" si="14"/>
        <v>135.5</v>
      </c>
      <c r="G442" s="13" t="s">
        <v>300</v>
      </c>
    </row>
    <row r="443" spans="1:7" x14ac:dyDescent="0.35">
      <c r="A443" s="9" t="s">
        <v>881</v>
      </c>
      <c r="D443" s="10" t="s">
        <v>139</v>
      </c>
      <c r="E443" s="11">
        <f t="shared" si="13"/>
        <v>70</v>
      </c>
      <c r="F443" s="12">
        <f t="shared" si="14"/>
        <v>94.85</v>
      </c>
      <c r="G443" s="13" t="s">
        <v>195</v>
      </c>
    </row>
    <row r="444" spans="1:7" x14ac:dyDescent="0.35">
      <c r="A444" s="9" t="s">
        <v>882</v>
      </c>
      <c r="D444" s="10" t="s">
        <v>154</v>
      </c>
      <c r="E444" s="11">
        <f t="shared" si="13"/>
        <v>100</v>
      </c>
      <c r="F444" s="12">
        <f t="shared" si="14"/>
        <v>135.5</v>
      </c>
      <c r="G444" s="13" t="s">
        <v>351</v>
      </c>
    </row>
    <row r="445" spans="1:7" x14ac:dyDescent="0.35">
      <c r="A445" s="9" t="s">
        <v>883</v>
      </c>
      <c r="D445" s="10" t="s">
        <v>139</v>
      </c>
      <c r="E445" s="11">
        <f t="shared" si="13"/>
        <v>150</v>
      </c>
      <c r="F445" s="12">
        <f t="shared" si="14"/>
        <v>203.25</v>
      </c>
      <c r="G445" s="13" t="s">
        <v>884</v>
      </c>
    </row>
    <row r="446" spans="1:7" x14ac:dyDescent="0.35">
      <c r="A446" s="9" t="s">
        <v>885</v>
      </c>
      <c r="D446" s="10" t="s">
        <v>139</v>
      </c>
      <c r="E446" s="11">
        <f t="shared" si="13"/>
        <v>120</v>
      </c>
      <c r="F446" s="12">
        <f t="shared" si="14"/>
        <v>162.6</v>
      </c>
      <c r="G446" s="13" t="s">
        <v>146</v>
      </c>
    </row>
    <row r="447" spans="1:7" x14ac:dyDescent="0.35">
      <c r="A447" s="9" t="s">
        <v>886</v>
      </c>
      <c r="D447" s="10" t="s">
        <v>24</v>
      </c>
      <c r="E447" s="11">
        <f t="shared" si="13"/>
        <v>120</v>
      </c>
      <c r="F447" s="12">
        <f t="shared" si="14"/>
        <v>162.6</v>
      </c>
      <c r="G447" s="13" t="s">
        <v>306</v>
      </c>
    </row>
    <row r="448" spans="1:7" x14ac:dyDescent="0.35">
      <c r="A448" s="9" t="s">
        <v>887</v>
      </c>
      <c r="D448" s="10" t="s">
        <v>51</v>
      </c>
      <c r="E448" s="11">
        <f t="shared" si="13"/>
        <v>361.05</v>
      </c>
      <c r="F448" s="12">
        <f t="shared" si="14"/>
        <v>489.22275000000002</v>
      </c>
      <c r="G448" s="13" t="s">
        <v>888</v>
      </c>
    </row>
    <row r="449" spans="1:7" x14ac:dyDescent="0.35">
      <c r="A449" s="9" t="s">
        <v>889</v>
      </c>
      <c r="D449" s="10" t="s">
        <v>51</v>
      </c>
      <c r="E449" s="11">
        <f t="shared" si="13"/>
        <v>300</v>
      </c>
      <c r="F449" s="12">
        <f t="shared" si="14"/>
        <v>406.5</v>
      </c>
      <c r="G449" s="13" t="s">
        <v>351</v>
      </c>
    </row>
    <row r="450" spans="1:7" x14ac:dyDescent="0.35">
      <c r="A450" s="9" t="s">
        <v>890</v>
      </c>
      <c r="D450" s="10" t="s">
        <v>51</v>
      </c>
      <c r="E450" s="11">
        <f t="shared" si="13"/>
        <v>200</v>
      </c>
      <c r="F450" s="12">
        <f t="shared" si="14"/>
        <v>271</v>
      </c>
      <c r="G450" s="13" t="s">
        <v>78</v>
      </c>
    </row>
    <row r="451" spans="1:7" x14ac:dyDescent="0.35">
      <c r="A451" s="9" t="s">
        <v>891</v>
      </c>
      <c r="D451" s="10" t="s">
        <v>24</v>
      </c>
      <c r="E451" s="11">
        <f t="shared" ref="E451:E459" si="15">G451/D451</f>
        <v>500</v>
      </c>
      <c r="F451" s="12">
        <f t="shared" si="14"/>
        <v>677.5</v>
      </c>
      <c r="G451" s="13" t="s">
        <v>892</v>
      </c>
    </row>
    <row r="452" spans="1:7" x14ac:dyDescent="0.35">
      <c r="A452" s="9" t="s">
        <v>893</v>
      </c>
      <c r="D452" s="10" t="s">
        <v>106</v>
      </c>
      <c r="E452" s="11">
        <f t="shared" si="15"/>
        <v>40</v>
      </c>
      <c r="F452" s="12">
        <f t="shared" si="14"/>
        <v>54.2</v>
      </c>
      <c r="G452" s="13" t="s">
        <v>14</v>
      </c>
    </row>
    <row r="453" spans="1:7" x14ac:dyDescent="0.35">
      <c r="A453" s="9" t="s">
        <v>894</v>
      </c>
      <c r="D453" s="10" t="s">
        <v>51</v>
      </c>
      <c r="E453" s="11">
        <f t="shared" si="15"/>
        <v>40</v>
      </c>
      <c r="F453" s="12">
        <f t="shared" si="14"/>
        <v>54.2</v>
      </c>
      <c r="G453" s="13" t="s">
        <v>107</v>
      </c>
    </row>
    <row r="454" spans="1:7" x14ac:dyDescent="0.35">
      <c r="A454" s="9" t="s">
        <v>895</v>
      </c>
      <c r="D454" s="10" t="s">
        <v>194</v>
      </c>
      <c r="E454" s="11">
        <f t="shared" si="15"/>
        <v>22.3</v>
      </c>
      <c r="F454" s="12">
        <f t="shared" si="14"/>
        <v>30.2165</v>
      </c>
      <c r="G454" s="13" t="s">
        <v>896</v>
      </c>
    </row>
    <row r="455" spans="1:7" x14ac:dyDescent="0.35">
      <c r="A455" s="9" t="s">
        <v>897</v>
      </c>
      <c r="D455" s="10" t="s">
        <v>51</v>
      </c>
      <c r="E455" s="11">
        <f t="shared" si="15"/>
        <v>12</v>
      </c>
      <c r="F455" s="12">
        <f t="shared" si="14"/>
        <v>16.259999999999998</v>
      </c>
      <c r="G455" s="13" t="s">
        <v>898</v>
      </c>
    </row>
    <row r="456" spans="1:7" x14ac:dyDescent="0.35">
      <c r="A456" s="9" t="s">
        <v>899</v>
      </c>
      <c r="D456" s="10" t="s">
        <v>24</v>
      </c>
      <c r="E456" s="11">
        <f t="shared" si="15"/>
        <v>11</v>
      </c>
      <c r="F456" s="12">
        <f t="shared" si="14"/>
        <v>14.904999999999999</v>
      </c>
      <c r="G456" s="13" t="s">
        <v>900</v>
      </c>
    </row>
    <row r="457" spans="1:7" x14ac:dyDescent="0.35">
      <c r="A457" s="9" t="s">
        <v>901</v>
      </c>
      <c r="D457" s="10" t="s">
        <v>69</v>
      </c>
      <c r="E457" s="11">
        <f t="shared" si="15"/>
        <v>38.143333333333338</v>
      </c>
      <c r="F457" s="12">
        <f t="shared" si="14"/>
        <v>51.684216666666671</v>
      </c>
      <c r="G457" s="13" t="s">
        <v>902</v>
      </c>
    </row>
    <row r="458" spans="1:7" x14ac:dyDescent="0.35">
      <c r="A458" s="9" t="s">
        <v>903</v>
      </c>
      <c r="D458" s="10" t="s">
        <v>36</v>
      </c>
      <c r="E458" s="11">
        <f t="shared" si="15"/>
        <v>8</v>
      </c>
      <c r="F458" s="12">
        <f t="shared" si="14"/>
        <v>10.84</v>
      </c>
      <c r="G458" s="13" t="s">
        <v>904</v>
      </c>
    </row>
    <row r="459" spans="1:7" x14ac:dyDescent="0.35">
      <c r="A459" s="9" t="s">
        <v>905</v>
      </c>
      <c r="D459" s="10" t="s">
        <v>106</v>
      </c>
      <c r="E459" s="11">
        <f t="shared" si="15"/>
        <v>21.21875</v>
      </c>
      <c r="F459" s="12">
        <f t="shared" si="14"/>
        <v>28.751406249999999</v>
      </c>
      <c r="G459" s="13" t="s">
        <v>906</v>
      </c>
    </row>
  </sheetData>
  <autoFilter ref="A1:H1" xr:uid="{773F29D9-D678-49E4-B035-BB8A8DD57241}"/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Champion Mart Pricing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 R.C. KOBBY</dc:creator>
  <cp:lastModifiedBy>LORD R.C. KOBBY</cp:lastModifiedBy>
  <dcterms:created xsi:type="dcterms:W3CDTF">2026-05-25T21:47:54Z</dcterms:created>
  <dcterms:modified xsi:type="dcterms:W3CDTF">2026-06-02T20:03:20Z</dcterms:modified>
</cp:coreProperties>
</file>